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Conductivity/"/>
    </mc:Choice>
  </mc:AlternateContent>
  <xr:revisionPtr revIDLastSave="128" documentId="8_{9C979954-CC5C-403A-A3CC-3D67F0AB2C05}" xr6:coauthVersionLast="47" xr6:coauthVersionMax="47" xr10:uidLastSave="{2DC2402C-9F40-4A95-B8D1-E2A81B909C9A}"/>
  <bookViews>
    <workbookView xWindow="-108" yWindow="-108" windowWidth="23256" windowHeight="13896" xr2:uid="{00000000-000D-0000-FFFF-FFFF00000000}"/>
  </bookViews>
  <sheets>
    <sheet name="Spearmans2" sheetId="1" r:id="rId1"/>
    <sheet name="Sheet1" sheetId="4" r:id="rId2"/>
    <sheet name="Active" sheetId="2" r:id="rId3"/>
  </sheets>
  <definedNames>
    <definedName name="_xlnm._FilterDatabase" localSheetId="2" hidden="1">Active!$A$1:$N$157</definedName>
    <definedName name="_xlnm._FilterDatabase" localSheetId="0" hidden="1">Spearmans2!$A$1:$S$319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2" i="4"/>
  <c r="L320" i="1"/>
  <c r="L321" i="1"/>
  <c r="L322" i="1"/>
  <c r="N322" i="1" s="1"/>
  <c r="M322" i="1"/>
  <c r="L323" i="1"/>
  <c r="L324" i="1"/>
  <c r="L325" i="1"/>
  <c r="L326" i="1"/>
  <c r="O326" i="1" s="1"/>
  <c r="L327" i="1"/>
  <c r="N327" i="1" s="1"/>
  <c r="L328" i="1"/>
  <c r="L329" i="1"/>
  <c r="N329" i="1" s="1"/>
  <c r="M329" i="1"/>
  <c r="L330" i="1"/>
  <c r="L331" i="1"/>
  <c r="L332" i="1"/>
  <c r="N332" i="1" s="1"/>
  <c r="L333" i="1"/>
  <c r="N333" i="1"/>
  <c r="L334" i="1"/>
  <c r="L335" i="1"/>
  <c r="M335" i="1" s="1"/>
  <c r="L336" i="1"/>
  <c r="N336" i="1" s="1"/>
  <c r="M336" i="1"/>
  <c r="L337" i="1"/>
  <c r="N337" i="1" s="1"/>
  <c r="B320" i="1"/>
  <c r="B321" i="1"/>
  <c r="B322" i="1"/>
  <c r="D322" i="1" s="1"/>
  <c r="F322" i="1"/>
  <c r="B323" i="1"/>
  <c r="E323" i="1" s="1"/>
  <c r="D323" i="1"/>
  <c r="B324" i="1"/>
  <c r="E324" i="1" s="1"/>
  <c r="C324" i="1"/>
  <c r="D324" i="1"/>
  <c r="B325" i="1"/>
  <c r="C325" i="1"/>
  <c r="D325" i="1"/>
  <c r="B326" i="1"/>
  <c r="B327" i="1"/>
  <c r="B328" i="1"/>
  <c r="B329" i="1"/>
  <c r="E329" i="1" s="1"/>
  <c r="C329" i="1"/>
  <c r="D329" i="1"/>
  <c r="B330" i="1"/>
  <c r="C330" i="1" s="1"/>
  <c r="D330" i="1"/>
  <c r="E330" i="1"/>
  <c r="B331" i="1"/>
  <c r="E331" i="1"/>
  <c r="B332" i="1"/>
  <c r="B333" i="1"/>
  <c r="B334" i="1"/>
  <c r="E334" i="1"/>
  <c r="F334" i="1"/>
  <c r="B335" i="1"/>
  <c r="E335" i="1"/>
  <c r="B336" i="1"/>
  <c r="F336" i="1" s="1"/>
  <c r="C336" i="1"/>
  <c r="D336" i="1"/>
  <c r="B337" i="1"/>
  <c r="E337" i="1" s="1"/>
  <c r="B2" i="1"/>
  <c r="L3" i="1"/>
  <c r="L4" i="1"/>
  <c r="L5" i="1"/>
  <c r="L6" i="1"/>
  <c r="L7" i="1"/>
  <c r="L8" i="1"/>
  <c r="L9" i="1"/>
  <c r="L10" i="1"/>
  <c r="L11" i="1"/>
  <c r="L12" i="1"/>
  <c r="L13" i="1"/>
  <c r="O13" i="1" s="1"/>
  <c r="L14" i="1"/>
  <c r="M14" i="1" s="1"/>
  <c r="L15" i="1"/>
  <c r="M15" i="1" s="1"/>
  <c r="L16" i="1"/>
  <c r="L17" i="1"/>
  <c r="N17" i="1" s="1"/>
  <c r="L18" i="1"/>
  <c r="L19" i="1"/>
  <c r="N19" i="1" s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O33" i="1" s="1"/>
  <c r="L34" i="1"/>
  <c r="L35" i="1"/>
  <c r="L36" i="1"/>
  <c r="L37" i="1"/>
  <c r="L38" i="1"/>
  <c r="L39" i="1"/>
  <c r="M39" i="1" s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M53" i="1" s="1"/>
  <c r="L54" i="1"/>
  <c r="N54" i="1" s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N79" i="1" s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N95" i="1" s="1"/>
  <c r="L96" i="1"/>
  <c r="L97" i="1"/>
  <c r="L98" i="1"/>
  <c r="M98" i="1" s="1"/>
  <c r="L99" i="1"/>
  <c r="N99" i="1" s="1"/>
  <c r="L100" i="1"/>
  <c r="L101" i="1"/>
  <c r="L102" i="1"/>
  <c r="L103" i="1"/>
  <c r="L104" i="1"/>
  <c r="M324" i="1" s="1"/>
  <c r="L105" i="1"/>
  <c r="L106" i="1"/>
  <c r="L107" i="1"/>
  <c r="L108" i="1"/>
  <c r="O108" i="1" s="1"/>
  <c r="L109" i="1"/>
  <c r="M109" i="1" s="1"/>
  <c r="L110" i="1"/>
  <c r="L111" i="1"/>
  <c r="L112" i="1"/>
  <c r="L113" i="1"/>
  <c r="N113" i="1" s="1"/>
  <c r="L114" i="1"/>
  <c r="N114" i="1" s="1"/>
  <c r="L115" i="1"/>
  <c r="M115" i="1" s="1"/>
  <c r="L116" i="1"/>
  <c r="M116" i="1" s="1"/>
  <c r="L117" i="1"/>
  <c r="L118" i="1"/>
  <c r="M118" i="1" s="1"/>
  <c r="L119" i="1"/>
  <c r="M326" i="1" s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O133" i="1" s="1"/>
  <c r="L134" i="1"/>
  <c r="L135" i="1"/>
  <c r="N135" i="1" s="1"/>
  <c r="L136" i="1"/>
  <c r="M136" i="1" s="1"/>
  <c r="L137" i="1"/>
  <c r="M137" i="1" s="1"/>
  <c r="L138" i="1"/>
  <c r="N138" i="1" s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M330" i="1" s="1"/>
  <c r="L154" i="1"/>
  <c r="L155" i="1"/>
  <c r="L156" i="1"/>
  <c r="L157" i="1"/>
  <c r="M157" i="1" s="1"/>
  <c r="L158" i="1"/>
  <c r="N158" i="1" s="1"/>
  <c r="L159" i="1"/>
  <c r="L160" i="1"/>
  <c r="L161" i="1"/>
  <c r="L162" i="1"/>
  <c r="L163" i="1"/>
  <c r="N163" i="1" s="1"/>
  <c r="L164" i="1"/>
  <c r="L165" i="1"/>
  <c r="M165" i="1" s="1"/>
  <c r="L166" i="1"/>
  <c r="L167" i="1"/>
  <c r="L168" i="1"/>
  <c r="L169" i="1"/>
  <c r="L170" i="1"/>
  <c r="L171" i="1"/>
  <c r="L172" i="1"/>
  <c r="L173" i="1"/>
  <c r="M173" i="1" s="1"/>
  <c r="L174" i="1"/>
  <c r="L175" i="1"/>
  <c r="L176" i="1"/>
  <c r="L177" i="1"/>
  <c r="L178" i="1"/>
  <c r="L179" i="1"/>
  <c r="L180" i="1"/>
  <c r="L181" i="1"/>
  <c r="L182" i="1"/>
  <c r="L183" i="1"/>
  <c r="L184" i="1"/>
  <c r="L185" i="1"/>
  <c r="N185" i="1" s="1"/>
  <c r="L186" i="1"/>
  <c r="L187" i="1"/>
  <c r="L188" i="1"/>
  <c r="L189" i="1"/>
  <c r="L190" i="1"/>
  <c r="L191" i="1"/>
  <c r="L192" i="1"/>
  <c r="L193" i="1"/>
  <c r="L194" i="1"/>
  <c r="N194" i="1" s="1"/>
  <c r="L195" i="1"/>
  <c r="N195" i="1" s="1"/>
  <c r="L196" i="1"/>
  <c r="L197" i="1"/>
  <c r="L198" i="1"/>
  <c r="M198" i="1" s="1"/>
  <c r="L199" i="1"/>
  <c r="M199" i="1" s="1"/>
  <c r="L200" i="1"/>
  <c r="L201" i="1"/>
  <c r="L202" i="1"/>
  <c r="L203" i="1"/>
  <c r="M203" i="1" s="1"/>
  <c r="L204" i="1"/>
  <c r="O204" i="1" s="1"/>
  <c r="L205" i="1"/>
  <c r="M205" i="1" s="1"/>
  <c r="L206" i="1"/>
  <c r="L207" i="1"/>
  <c r="L208" i="1"/>
  <c r="L209" i="1"/>
  <c r="L210" i="1"/>
  <c r="L211" i="1"/>
  <c r="L212" i="1"/>
  <c r="L213" i="1"/>
  <c r="M213" i="1" s="1"/>
  <c r="L214" i="1"/>
  <c r="N214" i="1" s="1"/>
  <c r="L215" i="1"/>
  <c r="L216" i="1"/>
  <c r="L217" i="1"/>
  <c r="L218" i="1"/>
  <c r="O218" i="1" s="1"/>
  <c r="L219" i="1"/>
  <c r="M219" i="1" s="1"/>
  <c r="L220" i="1"/>
  <c r="L221" i="1"/>
  <c r="L222" i="1"/>
  <c r="L223" i="1"/>
  <c r="L224" i="1"/>
  <c r="L225" i="1"/>
  <c r="N225" i="1" s="1"/>
  <c r="L226" i="1"/>
  <c r="L227" i="1"/>
  <c r="O227" i="1" s="1"/>
  <c r="L228" i="1"/>
  <c r="L229" i="1"/>
  <c r="L230" i="1"/>
  <c r="L231" i="1"/>
  <c r="L232" i="1"/>
  <c r="L233" i="1"/>
  <c r="N233" i="1" s="1"/>
  <c r="L234" i="1"/>
  <c r="L235" i="1"/>
  <c r="L236" i="1"/>
  <c r="L237" i="1"/>
  <c r="L238" i="1"/>
  <c r="M238" i="1" s="1"/>
  <c r="L239" i="1"/>
  <c r="M239" i="1" s="1"/>
  <c r="L240" i="1"/>
  <c r="L241" i="1"/>
  <c r="L242" i="1"/>
  <c r="M242" i="1" s="1"/>
  <c r="L243" i="1"/>
  <c r="L244" i="1"/>
  <c r="M244" i="1" s="1"/>
  <c r="L245" i="1"/>
  <c r="N245" i="1" s="1"/>
  <c r="L246" i="1"/>
  <c r="M246" i="1" s="1"/>
  <c r="L247" i="1"/>
  <c r="O247" i="1" s="1"/>
  <c r="L248" i="1"/>
  <c r="L249" i="1"/>
  <c r="L250" i="1"/>
  <c r="L251" i="1"/>
  <c r="L252" i="1"/>
  <c r="L253" i="1"/>
  <c r="L254" i="1"/>
  <c r="N254" i="1" s="1"/>
  <c r="L255" i="1"/>
  <c r="L256" i="1"/>
  <c r="L257" i="1"/>
  <c r="L258" i="1"/>
  <c r="M258" i="1" s="1"/>
  <c r="L259" i="1"/>
  <c r="L260" i="1"/>
  <c r="L261" i="1"/>
  <c r="L262" i="1"/>
  <c r="L263" i="1"/>
  <c r="N320" i="1" s="1"/>
  <c r="L264" i="1"/>
  <c r="L265" i="1"/>
  <c r="L266" i="1"/>
  <c r="L267" i="1"/>
  <c r="L268" i="1"/>
  <c r="L269" i="1"/>
  <c r="L270" i="1"/>
  <c r="L271" i="1"/>
  <c r="L272" i="1"/>
  <c r="O272" i="1" s="1"/>
  <c r="L273" i="1"/>
  <c r="M273" i="1" s="1"/>
  <c r="L274" i="1"/>
  <c r="M274" i="1" s="1"/>
  <c r="L275" i="1"/>
  <c r="L276" i="1"/>
  <c r="L277" i="1"/>
  <c r="L278" i="1"/>
  <c r="L279" i="1"/>
  <c r="N279" i="1" s="1"/>
  <c r="L280" i="1"/>
  <c r="L281" i="1"/>
  <c r="L282" i="1"/>
  <c r="L283" i="1"/>
  <c r="L284" i="1"/>
  <c r="L285" i="1"/>
  <c r="L286" i="1"/>
  <c r="L287" i="1"/>
  <c r="L288" i="1"/>
  <c r="L289" i="1"/>
  <c r="L290" i="1"/>
  <c r="M328" i="1" s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O317" i="1" s="1"/>
  <c r="L318" i="1"/>
  <c r="L319" i="1"/>
  <c r="M319" i="1" s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C14" i="1" s="1"/>
  <c r="B15" i="1"/>
  <c r="D15" i="1" s="1"/>
  <c r="B16" i="1"/>
  <c r="C16" i="1" s="1"/>
  <c r="B17" i="1"/>
  <c r="B18" i="1"/>
  <c r="B19" i="1"/>
  <c r="F19" i="1" s="1"/>
  <c r="B20" i="1"/>
  <c r="D20" i="1" s="1"/>
  <c r="B21" i="1"/>
  <c r="C21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C34" i="1" s="1"/>
  <c r="B35" i="1"/>
  <c r="D35" i="1" s="1"/>
  <c r="B36" i="1"/>
  <c r="B37" i="1"/>
  <c r="B38" i="1"/>
  <c r="B39" i="1"/>
  <c r="F39" i="1" s="1"/>
  <c r="B40" i="1"/>
  <c r="D40" i="1" s="1"/>
  <c r="B41" i="1"/>
  <c r="B42" i="1"/>
  <c r="B43" i="1"/>
  <c r="B44" i="1"/>
  <c r="B45" i="1"/>
  <c r="B46" i="1"/>
  <c r="B47" i="1"/>
  <c r="B48" i="1"/>
  <c r="B49" i="1"/>
  <c r="C49" i="1" s="1"/>
  <c r="B50" i="1"/>
  <c r="F50" i="1" s="1"/>
  <c r="B51" i="1"/>
  <c r="B52" i="1"/>
  <c r="C52" i="1" s="1"/>
  <c r="B53" i="1"/>
  <c r="C53" i="1" s="1"/>
  <c r="B54" i="1"/>
  <c r="B55" i="1"/>
  <c r="B56" i="1"/>
  <c r="B57" i="1"/>
  <c r="B58" i="1"/>
  <c r="B59" i="1"/>
  <c r="B60" i="1"/>
  <c r="B61" i="1"/>
  <c r="C61" i="1" s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F76" i="1" s="1"/>
  <c r="B77" i="1"/>
  <c r="B78" i="1"/>
  <c r="B79" i="1"/>
  <c r="B80" i="1"/>
  <c r="B81" i="1"/>
  <c r="F81" i="1" s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C98" i="1" s="1"/>
  <c r="B99" i="1"/>
  <c r="B100" i="1"/>
  <c r="C100" i="1" s="1"/>
  <c r="B101" i="1"/>
  <c r="F101" i="1" s="1"/>
  <c r="B102" i="1"/>
  <c r="B103" i="1"/>
  <c r="B104" i="1"/>
  <c r="B105" i="1"/>
  <c r="B106" i="1"/>
  <c r="B107" i="1"/>
  <c r="B108" i="1"/>
  <c r="B109" i="1"/>
  <c r="C334" i="1" s="1"/>
  <c r="B110" i="1"/>
  <c r="B111" i="1"/>
  <c r="E111" i="1" s="1"/>
  <c r="B112" i="1"/>
  <c r="E112" i="1" s="1"/>
  <c r="B113" i="1"/>
  <c r="B114" i="1"/>
  <c r="E114" i="1" s="1"/>
  <c r="B115" i="1"/>
  <c r="E115" i="1" s="1"/>
  <c r="B116" i="1"/>
  <c r="E116" i="1" s="1"/>
  <c r="B117" i="1"/>
  <c r="D117" i="1" s="1"/>
  <c r="B118" i="1"/>
  <c r="B119" i="1"/>
  <c r="C119" i="1" s="1"/>
  <c r="B120" i="1"/>
  <c r="B121" i="1"/>
  <c r="C121" i="1" s="1"/>
  <c r="B122" i="1"/>
  <c r="B123" i="1"/>
  <c r="B124" i="1"/>
  <c r="B125" i="1"/>
  <c r="B126" i="1"/>
  <c r="B127" i="1"/>
  <c r="B128" i="1"/>
  <c r="B129" i="1"/>
  <c r="B130" i="1"/>
  <c r="B131" i="1"/>
  <c r="C131" i="1" s="1"/>
  <c r="B132" i="1"/>
  <c r="B133" i="1"/>
  <c r="B134" i="1"/>
  <c r="E134" i="1" s="1"/>
  <c r="B135" i="1"/>
  <c r="D135" i="1" s="1"/>
  <c r="B136" i="1"/>
  <c r="E136" i="1" s="1"/>
  <c r="B137" i="1"/>
  <c r="B138" i="1"/>
  <c r="B139" i="1"/>
  <c r="B140" i="1"/>
  <c r="D140" i="1" s="1"/>
  <c r="B141" i="1"/>
  <c r="C141" i="1" s="1"/>
  <c r="B142" i="1"/>
  <c r="B143" i="1"/>
  <c r="B144" i="1"/>
  <c r="B145" i="1"/>
  <c r="B146" i="1"/>
  <c r="B147" i="1"/>
  <c r="B148" i="1"/>
  <c r="B149" i="1"/>
  <c r="B150" i="1"/>
  <c r="B151" i="1"/>
  <c r="B152" i="1"/>
  <c r="B153" i="1"/>
  <c r="F330" i="1" s="1"/>
  <c r="B154" i="1"/>
  <c r="B155" i="1"/>
  <c r="B156" i="1"/>
  <c r="B157" i="1"/>
  <c r="B158" i="1"/>
  <c r="C158" i="1" s="1"/>
  <c r="B159" i="1"/>
  <c r="F159" i="1" s="1"/>
  <c r="B160" i="1"/>
  <c r="B161" i="1"/>
  <c r="B162" i="1"/>
  <c r="B163" i="1"/>
  <c r="B164" i="1"/>
  <c r="B165" i="1"/>
  <c r="B166" i="1"/>
  <c r="B167" i="1"/>
  <c r="E167" i="1" s="1"/>
  <c r="B168" i="1"/>
  <c r="E168" i="1" s="1"/>
  <c r="B169" i="1"/>
  <c r="F169" i="1" s="1"/>
  <c r="B170" i="1"/>
  <c r="D170" i="1" s="1"/>
  <c r="B171" i="1"/>
  <c r="E171" i="1" s="1"/>
  <c r="B172" i="1"/>
  <c r="E172" i="1" s="1"/>
  <c r="B173" i="1"/>
  <c r="B174" i="1"/>
  <c r="E174" i="1" s="1"/>
  <c r="B175" i="1"/>
  <c r="D175" i="1" s="1"/>
  <c r="B176" i="1"/>
  <c r="F176" i="1" s="1"/>
  <c r="B177" i="1"/>
  <c r="B178" i="1"/>
  <c r="B179" i="1"/>
  <c r="F179" i="1" s="1"/>
  <c r="B180" i="1"/>
  <c r="F180" i="1" s="1"/>
  <c r="B181" i="1"/>
  <c r="C181" i="1" s="1"/>
  <c r="B182" i="1"/>
  <c r="B183" i="1"/>
  <c r="B184" i="1"/>
  <c r="B185" i="1"/>
  <c r="B186" i="1"/>
  <c r="B187" i="1"/>
  <c r="B188" i="1"/>
  <c r="B189" i="1"/>
  <c r="B190" i="1"/>
  <c r="B191" i="1"/>
  <c r="B192" i="1"/>
  <c r="C192" i="1" s="1"/>
  <c r="B193" i="1"/>
  <c r="C331" i="1" s="1"/>
  <c r="B194" i="1"/>
  <c r="B195" i="1"/>
  <c r="C195" i="1" s="1"/>
  <c r="B196" i="1"/>
  <c r="D196" i="1" s="1"/>
  <c r="B197" i="1"/>
  <c r="D197" i="1" s="1"/>
  <c r="B198" i="1"/>
  <c r="B199" i="1"/>
  <c r="F199" i="1" s="1"/>
  <c r="B200" i="1"/>
  <c r="F200" i="1" s="1"/>
  <c r="B201" i="1"/>
  <c r="E201" i="1" s="1"/>
  <c r="B202" i="1"/>
  <c r="B203" i="1"/>
  <c r="B204" i="1"/>
  <c r="E204" i="1" s="1"/>
  <c r="B205" i="1"/>
  <c r="B206" i="1"/>
  <c r="B207" i="1"/>
  <c r="B208" i="1"/>
  <c r="E208" i="1" s="1"/>
  <c r="B209" i="1"/>
  <c r="F209" i="1" s="1"/>
  <c r="B210" i="1"/>
  <c r="B211" i="1"/>
  <c r="C211" i="1" s="1"/>
  <c r="B212" i="1"/>
  <c r="C212" i="1" s="1"/>
  <c r="B213" i="1"/>
  <c r="B214" i="1"/>
  <c r="C214" i="1" s="1"/>
  <c r="B215" i="1"/>
  <c r="B216" i="1"/>
  <c r="E216" i="1" s="1"/>
  <c r="B217" i="1"/>
  <c r="B218" i="1"/>
  <c r="B219" i="1"/>
  <c r="B220" i="1"/>
  <c r="C220" i="1" s="1"/>
  <c r="B221" i="1"/>
  <c r="D221" i="1" s="1"/>
  <c r="B222" i="1"/>
  <c r="B223" i="1"/>
  <c r="B224" i="1"/>
  <c r="B225" i="1"/>
  <c r="E225" i="1" s="1"/>
  <c r="B226" i="1"/>
  <c r="B227" i="1"/>
  <c r="E227" i="1" s="1"/>
  <c r="B228" i="1"/>
  <c r="B229" i="1"/>
  <c r="E229" i="1" s="1"/>
  <c r="B230" i="1"/>
  <c r="E230" i="1" s="1"/>
  <c r="B231" i="1"/>
  <c r="E231" i="1" s="1"/>
  <c r="B232" i="1"/>
  <c r="E232" i="1" s="1"/>
  <c r="B233" i="1"/>
  <c r="B234" i="1"/>
  <c r="C234" i="1" s="1"/>
  <c r="B235" i="1"/>
  <c r="B236" i="1"/>
  <c r="E236" i="1" s="1"/>
  <c r="B237" i="1"/>
  <c r="C237" i="1" s="1"/>
  <c r="B238" i="1"/>
  <c r="B239" i="1"/>
  <c r="D239" i="1" s="1"/>
  <c r="B240" i="1"/>
  <c r="D240" i="1" s="1"/>
  <c r="B241" i="1"/>
  <c r="B242" i="1"/>
  <c r="B243" i="1"/>
  <c r="B244" i="1"/>
  <c r="B245" i="1"/>
  <c r="B246" i="1"/>
  <c r="E246" i="1" s="1"/>
  <c r="B247" i="1"/>
  <c r="E247" i="1" s="1"/>
  <c r="B248" i="1"/>
  <c r="E248" i="1" s="1"/>
  <c r="B249" i="1"/>
  <c r="B250" i="1"/>
  <c r="B251" i="1"/>
  <c r="B252" i="1"/>
  <c r="B253" i="1"/>
  <c r="B254" i="1"/>
  <c r="B255" i="1"/>
  <c r="D255" i="1" s="1"/>
  <c r="B256" i="1"/>
  <c r="C256" i="1" s="1"/>
  <c r="B257" i="1"/>
  <c r="B258" i="1"/>
  <c r="E258" i="1" s="1"/>
  <c r="B259" i="1"/>
  <c r="F259" i="1" s="1"/>
  <c r="B260" i="1"/>
  <c r="B261" i="1"/>
  <c r="F261" i="1" s="1"/>
  <c r="B262" i="1"/>
  <c r="B263" i="1"/>
  <c r="B264" i="1"/>
  <c r="B265" i="1"/>
  <c r="E265" i="1" s="1"/>
  <c r="B266" i="1"/>
  <c r="B267" i="1"/>
  <c r="B268" i="1"/>
  <c r="B269" i="1"/>
  <c r="B270" i="1"/>
  <c r="C270" i="1" s="1"/>
  <c r="B271" i="1"/>
  <c r="C271" i="1" s="1"/>
  <c r="B272" i="1"/>
  <c r="E272" i="1" s="1"/>
  <c r="B273" i="1"/>
  <c r="C273" i="1" s="1"/>
  <c r="B274" i="1"/>
  <c r="C274" i="1" s="1"/>
  <c r="B275" i="1"/>
  <c r="D275" i="1" s="1"/>
  <c r="B276" i="1"/>
  <c r="B277" i="1"/>
  <c r="B278" i="1"/>
  <c r="B279" i="1"/>
  <c r="B280" i="1"/>
  <c r="D280" i="1" s="1"/>
  <c r="B281" i="1"/>
  <c r="D281" i="1" s="1"/>
  <c r="B282" i="1"/>
  <c r="B283" i="1"/>
  <c r="B284" i="1"/>
  <c r="B285" i="1"/>
  <c r="B286" i="1"/>
  <c r="B287" i="1"/>
  <c r="B288" i="1"/>
  <c r="B289" i="1"/>
  <c r="B290" i="1"/>
  <c r="F328" i="1" s="1"/>
  <c r="B291" i="1"/>
  <c r="B292" i="1"/>
  <c r="B293" i="1"/>
  <c r="B294" i="1"/>
  <c r="B295" i="1"/>
  <c r="B296" i="1"/>
  <c r="B297" i="1"/>
  <c r="B298" i="1"/>
  <c r="B299" i="1"/>
  <c r="B300" i="1"/>
  <c r="E300" i="1" s="1"/>
  <c r="B301" i="1"/>
  <c r="B302" i="1"/>
  <c r="B303" i="1"/>
  <c r="B304" i="1"/>
  <c r="B305" i="1"/>
  <c r="B306" i="1"/>
  <c r="B307" i="1"/>
  <c r="B308" i="1"/>
  <c r="B309" i="1"/>
  <c r="E309" i="1" s="1"/>
  <c r="B310" i="1"/>
  <c r="E310" i="1" s="1"/>
  <c r="B311" i="1"/>
  <c r="B312" i="1"/>
  <c r="E312" i="1" s="1"/>
  <c r="B313" i="1"/>
  <c r="B314" i="1"/>
  <c r="B315" i="1"/>
  <c r="B316" i="1"/>
  <c r="B317" i="1"/>
  <c r="B318" i="1"/>
  <c r="B319" i="1"/>
  <c r="F319" i="1" s="1"/>
  <c r="C327" i="1" l="1"/>
  <c r="C332" i="1"/>
  <c r="N331" i="1"/>
  <c r="C333" i="1"/>
  <c r="N335" i="1"/>
  <c r="O333" i="1"/>
  <c r="E322" i="1"/>
  <c r="E336" i="1"/>
  <c r="O328" i="1"/>
  <c r="D328" i="1"/>
  <c r="E226" i="1"/>
  <c r="E166" i="1"/>
  <c r="M224" i="1"/>
  <c r="M164" i="1"/>
  <c r="M64" i="1"/>
  <c r="E305" i="1"/>
  <c r="E165" i="1"/>
  <c r="E284" i="1"/>
  <c r="E244" i="1"/>
  <c r="E224" i="1"/>
  <c r="E184" i="1"/>
  <c r="N202" i="1"/>
  <c r="M162" i="1"/>
  <c r="E243" i="1"/>
  <c r="D223" i="1"/>
  <c r="D203" i="1"/>
  <c r="D183" i="1"/>
  <c r="D163" i="1"/>
  <c r="E143" i="1"/>
  <c r="C3" i="1"/>
  <c r="O281" i="1"/>
  <c r="O241" i="1"/>
  <c r="M221" i="1"/>
  <c r="M161" i="1"/>
  <c r="M81" i="1"/>
  <c r="M61" i="1"/>
  <c r="D337" i="1"/>
  <c r="D332" i="1"/>
  <c r="D327" i="1"/>
  <c r="C322" i="1"/>
  <c r="M333" i="1"/>
  <c r="N326" i="1"/>
  <c r="C191" i="1"/>
  <c r="F110" i="1"/>
  <c r="M228" i="1"/>
  <c r="N168" i="1"/>
  <c r="C269" i="1"/>
  <c r="D334" i="1"/>
  <c r="O334" i="1"/>
  <c r="E207" i="1"/>
  <c r="E186" i="1"/>
  <c r="O284" i="1"/>
  <c r="C328" i="1"/>
  <c r="E285" i="1"/>
  <c r="E245" i="1"/>
  <c r="E185" i="1"/>
  <c r="E164" i="1"/>
  <c r="E64" i="1"/>
  <c r="M222" i="1"/>
  <c r="C2" i="1"/>
  <c r="E327" i="1"/>
  <c r="F302" i="1"/>
  <c r="C282" i="1"/>
  <c r="C242" i="1"/>
  <c r="D222" i="1"/>
  <c r="D202" i="1"/>
  <c r="D182" i="1"/>
  <c r="F162" i="1"/>
  <c r="E142" i="1"/>
  <c r="C82" i="1"/>
  <c r="C62" i="1"/>
  <c r="O2" i="1"/>
  <c r="M300" i="1"/>
  <c r="M260" i="1"/>
  <c r="O240" i="1"/>
  <c r="M220" i="1"/>
  <c r="M180" i="1"/>
  <c r="M160" i="1"/>
  <c r="M140" i="1"/>
  <c r="M120" i="1"/>
  <c r="M80" i="1"/>
  <c r="O40" i="1"/>
  <c r="O20" i="1"/>
  <c r="C337" i="1"/>
  <c r="F331" i="1"/>
  <c r="D331" i="1"/>
  <c r="F326" i="1"/>
  <c r="C321" i="1"/>
  <c r="O331" i="1"/>
  <c r="M325" i="1"/>
  <c r="E132" i="1"/>
  <c r="M323" i="1"/>
  <c r="C301" i="1"/>
  <c r="C41" i="1"/>
  <c r="C219" i="1"/>
  <c r="M297" i="1"/>
  <c r="N257" i="1"/>
  <c r="M217" i="1"/>
  <c r="M197" i="1"/>
  <c r="N177" i="1"/>
  <c r="M117" i="1"/>
  <c r="M77" i="1"/>
  <c r="M37" i="1"/>
  <c r="E326" i="1"/>
  <c r="E321" i="1"/>
  <c r="N325" i="1"/>
  <c r="C160" i="1"/>
  <c r="M318" i="1"/>
  <c r="M298" i="1"/>
  <c r="M78" i="1"/>
  <c r="O38" i="1"/>
  <c r="C299" i="1"/>
  <c r="D99" i="1"/>
  <c r="D79" i="1"/>
  <c r="C318" i="1"/>
  <c r="C298" i="1"/>
  <c r="C238" i="1"/>
  <c r="C218" i="1"/>
  <c r="C198" i="1"/>
  <c r="C178" i="1"/>
  <c r="C138" i="1"/>
  <c r="C118" i="1"/>
  <c r="C78" i="1"/>
  <c r="C38" i="1"/>
  <c r="C18" i="1"/>
  <c r="M256" i="1"/>
  <c r="M236" i="1"/>
  <c r="N216" i="1"/>
  <c r="O196" i="1"/>
  <c r="M176" i="1"/>
  <c r="O96" i="1"/>
  <c r="M76" i="1"/>
  <c r="N16" i="1"/>
  <c r="D326" i="1"/>
  <c r="C320" i="1"/>
  <c r="M331" i="1"/>
  <c r="O324" i="1"/>
  <c r="D215" i="1"/>
  <c r="E161" i="1"/>
  <c r="M299" i="1"/>
  <c r="M179" i="1"/>
  <c r="M139" i="1"/>
  <c r="D321" i="1"/>
  <c r="F260" i="1"/>
  <c r="C120" i="1"/>
  <c r="E80" i="1"/>
  <c r="E279" i="1"/>
  <c r="C139" i="1"/>
  <c r="D257" i="1"/>
  <c r="D217" i="1"/>
  <c r="D177" i="1"/>
  <c r="D157" i="1"/>
  <c r="D137" i="1"/>
  <c r="D97" i="1"/>
  <c r="D77" i="1"/>
  <c r="D37" i="1"/>
  <c r="D17" i="1"/>
  <c r="M275" i="1"/>
  <c r="N235" i="1"/>
  <c r="M175" i="1"/>
  <c r="C326" i="1"/>
  <c r="M337" i="1"/>
  <c r="O330" i="1"/>
  <c r="N324" i="1"/>
  <c r="D235" i="1"/>
  <c r="D241" i="1"/>
  <c r="F96" i="1"/>
  <c r="E36" i="1"/>
  <c r="N234" i="1"/>
  <c r="F335" i="1"/>
  <c r="N330" i="1"/>
  <c r="C194" i="1"/>
  <c r="C54" i="1"/>
  <c r="C254" i="1"/>
  <c r="D335" i="1"/>
  <c r="O323" i="1"/>
  <c r="E313" i="1"/>
  <c r="C233" i="1"/>
  <c r="C213" i="1"/>
  <c r="C193" i="1"/>
  <c r="C173" i="1"/>
  <c r="E133" i="1"/>
  <c r="C113" i="1"/>
  <c r="N271" i="1"/>
  <c r="C335" i="1"/>
  <c r="E325" i="1"/>
  <c r="O335" i="1"/>
  <c r="O329" i="1"/>
  <c r="N323" i="1"/>
  <c r="E228" i="1"/>
  <c r="M206" i="1"/>
  <c r="O166" i="1"/>
  <c r="M126" i="1"/>
  <c r="M66" i="1"/>
  <c r="E328" i="1"/>
  <c r="C323" i="1"/>
  <c r="N334" i="1"/>
  <c r="N328" i="1"/>
  <c r="M321" i="1"/>
  <c r="M334" i="1"/>
  <c r="O320" i="1"/>
  <c r="C51" i="1"/>
  <c r="F210" i="1"/>
  <c r="N188" i="1"/>
  <c r="D109" i="1"/>
  <c r="E67" i="1"/>
  <c r="O264" i="1"/>
  <c r="E205" i="1"/>
  <c r="E65" i="1"/>
  <c r="M303" i="1"/>
  <c r="N283" i="1"/>
  <c r="O243" i="1"/>
  <c r="N223" i="1"/>
  <c r="M183" i="1"/>
  <c r="O63" i="1"/>
  <c r="M3" i="1"/>
  <c r="E333" i="1"/>
  <c r="F327" i="1"/>
  <c r="M327" i="1"/>
  <c r="M320" i="1"/>
  <c r="E320" i="1"/>
  <c r="O321" i="1"/>
  <c r="F324" i="1"/>
  <c r="D320" i="1"/>
  <c r="N321" i="1"/>
  <c r="F320" i="1"/>
  <c r="D333" i="1"/>
  <c r="M332" i="1"/>
  <c r="F332" i="1"/>
  <c r="E332" i="1"/>
  <c r="F323" i="1"/>
  <c r="O336" i="1"/>
  <c r="O325" i="1"/>
  <c r="O337" i="1"/>
  <c r="O332" i="1"/>
  <c r="O327" i="1"/>
  <c r="O322" i="1"/>
  <c r="F337" i="1"/>
  <c r="F333" i="1"/>
  <c r="F329" i="1"/>
  <c r="F325" i="1"/>
  <c r="F321" i="1"/>
  <c r="F2" i="1"/>
  <c r="E61" i="1"/>
  <c r="E2" i="1"/>
  <c r="E189" i="1"/>
  <c r="E270" i="1"/>
  <c r="E260" i="1"/>
  <c r="E160" i="1"/>
  <c r="E70" i="1"/>
  <c r="M23" i="1"/>
  <c r="E69" i="1"/>
  <c r="E23" i="1"/>
  <c r="E141" i="1"/>
  <c r="E140" i="1"/>
  <c r="E110" i="1"/>
  <c r="E109" i="1"/>
  <c r="O57" i="1"/>
  <c r="D277" i="1"/>
  <c r="C155" i="1"/>
  <c r="D262" i="1"/>
  <c r="D142" i="1"/>
  <c r="C122" i="1"/>
  <c r="F102" i="1"/>
  <c r="C42" i="1"/>
  <c r="F22" i="1"/>
  <c r="N261" i="1"/>
  <c r="M201" i="1"/>
  <c r="M121" i="1"/>
  <c r="M101" i="1"/>
  <c r="M21" i="1"/>
  <c r="D2" i="1"/>
  <c r="C59" i="1"/>
  <c r="D317" i="1"/>
  <c r="D297" i="1"/>
  <c r="O56" i="1"/>
  <c r="D156" i="1"/>
  <c r="M315" i="1"/>
  <c r="C74" i="1"/>
  <c r="N293" i="1"/>
  <c r="N32" i="1"/>
  <c r="E95" i="1"/>
  <c r="E316" i="1"/>
  <c r="C56" i="1"/>
  <c r="C295" i="1"/>
  <c r="D55" i="1"/>
  <c r="E314" i="1"/>
  <c r="M313" i="1"/>
  <c r="N253" i="1"/>
  <c r="N193" i="1"/>
  <c r="M93" i="1"/>
  <c r="E93" i="1"/>
  <c r="C13" i="1"/>
  <c r="N11" i="1"/>
  <c r="C91" i="1"/>
  <c r="E11" i="1"/>
  <c r="E10" i="1"/>
  <c r="M9" i="1"/>
  <c r="C289" i="1"/>
  <c r="D249" i="1"/>
  <c r="D189" i="1"/>
  <c r="F149" i="1"/>
  <c r="D129" i="1"/>
  <c r="C89" i="1"/>
  <c r="D29" i="1"/>
  <c r="E9" i="1"/>
  <c r="O308" i="1"/>
  <c r="O288" i="1"/>
  <c r="M268" i="1"/>
  <c r="O88" i="1"/>
  <c r="O68" i="1"/>
  <c r="O28" i="1"/>
  <c r="M8" i="1"/>
  <c r="E223" i="1"/>
  <c r="C58" i="1"/>
  <c r="E75" i="1"/>
  <c r="M73" i="1"/>
  <c r="E293" i="1"/>
  <c r="C250" i="1"/>
  <c r="D190" i="1"/>
  <c r="F150" i="1"/>
  <c r="C130" i="1"/>
  <c r="C90" i="1"/>
  <c r="D30" i="1"/>
  <c r="O289" i="1"/>
  <c r="M129" i="1"/>
  <c r="E308" i="1"/>
  <c r="E288" i="1"/>
  <c r="E148" i="1"/>
  <c r="E128" i="1"/>
  <c r="E88" i="1"/>
  <c r="E68" i="1"/>
  <c r="E48" i="1"/>
  <c r="E28" i="1"/>
  <c r="E8" i="1"/>
  <c r="M267" i="1"/>
  <c r="O187" i="1"/>
  <c r="N127" i="1"/>
  <c r="O107" i="1"/>
  <c r="O87" i="1"/>
  <c r="O7" i="1"/>
  <c r="E222" i="1"/>
  <c r="E60" i="1"/>
  <c r="M58" i="1"/>
  <c r="C278" i="1"/>
  <c r="C95" i="1"/>
  <c r="N154" i="1"/>
  <c r="C32" i="1"/>
  <c r="M86" i="1"/>
  <c r="E29" i="1"/>
  <c r="M278" i="1"/>
  <c r="N316" i="1"/>
  <c r="M296" i="1"/>
  <c r="D296" i="1"/>
  <c r="M295" i="1"/>
  <c r="C315" i="1"/>
  <c r="N94" i="1"/>
  <c r="M153" i="1"/>
  <c r="E261" i="1"/>
  <c r="C253" i="1"/>
  <c r="C252" i="1"/>
  <c r="C12" i="1"/>
  <c r="E240" i="1"/>
  <c r="C311" i="1"/>
  <c r="E251" i="1"/>
  <c r="E127" i="1"/>
  <c r="E87" i="1"/>
  <c r="E47" i="1"/>
  <c r="E27" i="1"/>
  <c r="E7" i="1"/>
  <c r="M306" i="1"/>
  <c r="M286" i="1"/>
  <c r="M106" i="1"/>
  <c r="O46" i="1"/>
  <c r="E221" i="1"/>
  <c r="E306" i="1"/>
  <c r="E286" i="1"/>
  <c r="E266" i="1"/>
  <c r="E206" i="1"/>
  <c r="E126" i="1"/>
  <c r="E106" i="1"/>
  <c r="E86" i="1"/>
  <c r="E66" i="1"/>
  <c r="E46" i="1"/>
  <c r="E26" i="1"/>
  <c r="E6" i="1"/>
  <c r="O285" i="1"/>
  <c r="M265" i="1"/>
  <c r="O145" i="1"/>
  <c r="M125" i="1"/>
  <c r="M105" i="1"/>
  <c r="O85" i="1"/>
  <c r="O65" i="1"/>
  <c r="M45" i="1"/>
  <c r="N25" i="1"/>
  <c r="O5" i="1"/>
  <c r="E209" i="1"/>
  <c r="M314" i="1"/>
  <c r="M74" i="1"/>
  <c r="O144" i="1"/>
  <c r="M84" i="1"/>
  <c r="M4" i="1"/>
  <c r="E193" i="1"/>
  <c r="E22" i="1"/>
  <c r="C60" i="1"/>
  <c r="D57" i="1"/>
  <c r="M276" i="1"/>
  <c r="F276" i="1"/>
  <c r="E153" i="1"/>
  <c r="C33" i="1"/>
  <c r="C312" i="1"/>
  <c r="E92" i="1"/>
  <c r="C291" i="1"/>
  <c r="E31" i="1"/>
  <c r="E287" i="1"/>
  <c r="E85" i="1"/>
  <c r="E45" i="1"/>
  <c r="O124" i="1"/>
  <c r="M24" i="1"/>
  <c r="E304" i="1"/>
  <c r="E144" i="1"/>
  <c r="C104" i="1"/>
  <c r="E84" i="1"/>
  <c r="E44" i="1"/>
  <c r="E24" i="1"/>
  <c r="E4" i="1"/>
  <c r="N263" i="1"/>
  <c r="M143" i="1"/>
  <c r="M123" i="1"/>
  <c r="O103" i="1"/>
  <c r="M83" i="1"/>
  <c r="N43" i="1"/>
  <c r="N23" i="1"/>
  <c r="E192" i="1"/>
  <c r="E21" i="1"/>
  <c r="M277" i="1"/>
  <c r="N155" i="1"/>
  <c r="E294" i="1"/>
  <c r="C154" i="1"/>
  <c r="E94" i="1"/>
  <c r="E73" i="1"/>
  <c r="E292" i="1"/>
  <c r="C152" i="1"/>
  <c r="E72" i="1"/>
  <c r="E89" i="1"/>
  <c r="E151" i="1"/>
  <c r="E71" i="1"/>
  <c r="C290" i="1"/>
  <c r="E125" i="1"/>
  <c r="E25" i="1"/>
  <c r="E5" i="1"/>
  <c r="M44" i="1"/>
  <c r="E264" i="1"/>
  <c r="E124" i="1"/>
  <c r="E303" i="1"/>
  <c r="E283" i="1"/>
  <c r="E263" i="1"/>
  <c r="D143" i="1"/>
  <c r="D123" i="1"/>
  <c r="D103" i="1"/>
  <c r="D83" i="1"/>
  <c r="D63" i="1"/>
  <c r="D43" i="1"/>
  <c r="D23" i="1"/>
  <c r="D3" i="1"/>
  <c r="M302" i="1"/>
  <c r="M282" i="1"/>
  <c r="M262" i="1"/>
  <c r="M142" i="1"/>
  <c r="O122" i="1"/>
  <c r="N102" i="1"/>
  <c r="M42" i="1"/>
  <c r="O22" i="1"/>
  <c r="E190" i="1"/>
  <c r="E13" i="1"/>
  <c r="E213" i="1"/>
  <c r="E130" i="1"/>
  <c r="E59" i="1"/>
  <c r="E295" i="1"/>
  <c r="E212" i="1"/>
  <c r="E129" i="1"/>
  <c r="E43" i="1"/>
  <c r="E159" i="1"/>
  <c r="E210" i="1"/>
  <c r="E123" i="1"/>
  <c r="E42" i="1"/>
  <c r="E122" i="1"/>
  <c r="E195" i="1"/>
  <c r="E121" i="1"/>
  <c r="E40" i="1"/>
  <c r="E79" i="1"/>
  <c r="E41" i="1"/>
  <c r="E290" i="1"/>
  <c r="E194" i="1"/>
  <c r="E113" i="1"/>
  <c r="E30" i="1"/>
  <c r="E259" i="1"/>
  <c r="C79" i="1"/>
  <c r="O136" i="1"/>
  <c r="E170" i="1"/>
  <c r="E12" i="1"/>
  <c r="E179" i="1"/>
  <c r="N63" i="1"/>
  <c r="E242" i="1"/>
  <c r="E169" i="1"/>
  <c r="M43" i="1"/>
  <c r="E241" i="1"/>
  <c r="E90" i="1"/>
  <c r="E178" i="1"/>
  <c r="E275" i="1"/>
  <c r="E274" i="1"/>
  <c r="O183" i="1"/>
  <c r="E301" i="1"/>
  <c r="E235" i="1"/>
  <c r="E135" i="1"/>
  <c r="E101" i="1"/>
  <c r="E35" i="1"/>
  <c r="E278" i="1"/>
  <c r="E175" i="1"/>
  <c r="M168" i="1"/>
  <c r="E269" i="1"/>
  <c r="E234" i="1"/>
  <c r="E200" i="1"/>
  <c r="E100" i="1"/>
  <c r="E34" i="1"/>
  <c r="M154" i="1"/>
  <c r="E299" i="1"/>
  <c r="E233" i="1"/>
  <c r="E199" i="1"/>
  <c r="E163" i="1"/>
  <c r="E99" i="1"/>
  <c r="E63" i="1"/>
  <c r="E33" i="1"/>
  <c r="E298" i="1"/>
  <c r="E262" i="1"/>
  <c r="E198" i="1"/>
  <c r="E162" i="1"/>
  <c r="E98" i="1"/>
  <c r="E62" i="1"/>
  <c r="E32" i="1"/>
  <c r="E158" i="1"/>
  <c r="E58" i="1"/>
  <c r="E255" i="1"/>
  <c r="E155" i="1"/>
  <c r="E55" i="1"/>
  <c r="E289" i="1"/>
  <c r="E254" i="1"/>
  <c r="E220" i="1"/>
  <c r="E154" i="1"/>
  <c r="E120" i="1"/>
  <c r="E54" i="1"/>
  <c r="E20" i="1"/>
  <c r="E319" i="1"/>
  <c r="E253" i="1"/>
  <c r="E219" i="1"/>
  <c r="E183" i="1"/>
  <c r="E119" i="1"/>
  <c r="E83" i="1"/>
  <c r="E53" i="1"/>
  <c r="E19" i="1"/>
  <c r="E318" i="1"/>
  <c r="E282" i="1"/>
  <c r="E252" i="1"/>
  <c r="E218" i="1"/>
  <c r="E182" i="1"/>
  <c r="E152" i="1"/>
  <c r="E118" i="1"/>
  <c r="E82" i="1"/>
  <c r="E52" i="1"/>
  <c r="E18" i="1"/>
  <c r="E315" i="1"/>
  <c r="E281" i="1"/>
  <c r="E250" i="1"/>
  <c r="E215" i="1"/>
  <c r="E181" i="1"/>
  <c r="E150" i="1"/>
  <c r="E81" i="1"/>
  <c r="E50" i="1"/>
  <c r="E15" i="1"/>
  <c r="E280" i="1"/>
  <c r="E249" i="1"/>
  <c r="E214" i="1"/>
  <c r="E180" i="1"/>
  <c r="E149" i="1"/>
  <c r="E49" i="1"/>
  <c r="E14" i="1"/>
  <c r="E78" i="1"/>
  <c r="E74" i="1"/>
  <c r="E273" i="1"/>
  <c r="E239" i="1"/>
  <c r="E203" i="1"/>
  <c r="E173" i="1"/>
  <c r="E139" i="1"/>
  <c r="E103" i="1"/>
  <c r="E39" i="1"/>
  <c r="O316" i="1"/>
  <c r="E302" i="1"/>
  <c r="E238" i="1"/>
  <c r="E202" i="1"/>
  <c r="E138" i="1"/>
  <c r="E102" i="1"/>
  <c r="E38" i="1"/>
  <c r="E3" i="1"/>
  <c r="N184" i="1"/>
  <c r="O184" i="1"/>
  <c r="C146" i="1"/>
  <c r="E146" i="1"/>
  <c r="D145" i="1"/>
  <c r="E145" i="1"/>
  <c r="M146" i="1"/>
  <c r="O146" i="1"/>
  <c r="C105" i="1"/>
  <c r="E105" i="1"/>
  <c r="M305" i="1"/>
  <c r="O305" i="1"/>
  <c r="M184" i="1"/>
  <c r="N166" i="1"/>
  <c r="E104" i="1"/>
  <c r="C108" i="1"/>
  <c r="E108" i="1"/>
  <c r="O148" i="1"/>
  <c r="M148" i="1"/>
  <c r="M128" i="1"/>
  <c r="N128" i="1"/>
  <c r="O128" i="1"/>
  <c r="M186" i="1"/>
  <c r="O186" i="1"/>
  <c r="M166" i="1"/>
  <c r="F268" i="1"/>
  <c r="E268" i="1"/>
  <c r="F188" i="1"/>
  <c r="E188" i="1"/>
  <c r="D307" i="1"/>
  <c r="E307" i="1"/>
  <c r="F267" i="1"/>
  <c r="E267" i="1"/>
  <c r="F187" i="1"/>
  <c r="E187" i="1"/>
  <c r="F147" i="1"/>
  <c r="E147" i="1"/>
  <c r="D107" i="1"/>
  <c r="E107" i="1"/>
  <c r="O307" i="1"/>
  <c r="N307" i="1"/>
  <c r="O147" i="1"/>
  <c r="M147" i="1"/>
  <c r="M316" i="1"/>
  <c r="E317" i="1"/>
  <c r="E297" i="1"/>
  <c r="E277" i="1"/>
  <c r="E257" i="1"/>
  <c r="E237" i="1"/>
  <c r="E217" i="1"/>
  <c r="E197" i="1"/>
  <c r="E177" i="1"/>
  <c r="E157" i="1"/>
  <c r="E137" i="1"/>
  <c r="E117" i="1"/>
  <c r="E97" i="1"/>
  <c r="E77" i="1"/>
  <c r="E57" i="1"/>
  <c r="E37" i="1"/>
  <c r="E17" i="1"/>
  <c r="O315" i="1"/>
  <c r="E296" i="1"/>
  <c r="E276" i="1"/>
  <c r="E256" i="1"/>
  <c r="E196" i="1"/>
  <c r="E176" i="1"/>
  <c r="E156" i="1"/>
  <c r="E96" i="1"/>
  <c r="E76" i="1"/>
  <c r="E56" i="1"/>
  <c r="E16" i="1"/>
  <c r="N143" i="1"/>
  <c r="N243" i="1"/>
  <c r="N136" i="1"/>
  <c r="M243" i="1"/>
  <c r="E311" i="1"/>
  <c r="E291" i="1"/>
  <c r="E271" i="1"/>
  <c r="E211" i="1"/>
  <c r="E191" i="1"/>
  <c r="E131" i="1"/>
  <c r="E91" i="1"/>
  <c r="E51" i="1"/>
  <c r="M216" i="1"/>
  <c r="O214" i="1"/>
  <c r="O117" i="1"/>
  <c r="O194" i="1"/>
  <c r="O116" i="1"/>
  <c r="M214" i="1"/>
  <c r="M103" i="1"/>
  <c r="N118" i="1"/>
  <c r="N83" i="1"/>
  <c r="O164" i="1"/>
  <c r="O313" i="1"/>
  <c r="O224" i="1"/>
  <c r="O185" i="1"/>
  <c r="M155" i="1"/>
  <c r="O135" i="1"/>
  <c r="M85" i="1"/>
  <c r="N285" i="1"/>
  <c r="O193" i="1"/>
  <c r="O24" i="1"/>
  <c r="M193" i="1"/>
  <c r="N164" i="1"/>
  <c r="M99" i="1"/>
  <c r="N313" i="1"/>
  <c r="O221" i="1"/>
  <c r="M185" i="1"/>
  <c r="O154" i="1"/>
  <c r="M135" i="1"/>
  <c r="O83" i="1"/>
  <c r="N133" i="1"/>
  <c r="O153" i="1"/>
  <c r="M133" i="1"/>
  <c r="N65" i="1"/>
  <c r="N153" i="1"/>
  <c r="M65" i="1"/>
  <c r="N305" i="1"/>
  <c r="O213" i="1"/>
  <c r="O64" i="1"/>
  <c r="O299" i="1"/>
  <c r="N213" i="1"/>
  <c r="N183" i="1"/>
  <c r="N147" i="1"/>
  <c r="N64" i="1"/>
  <c r="N299" i="1"/>
  <c r="O173" i="1"/>
  <c r="N125" i="1"/>
  <c r="O205" i="1"/>
  <c r="N173" i="1"/>
  <c r="N124" i="1"/>
  <c r="M63" i="1"/>
  <c r="O298" i="1"/>
  <c r="N205" i="1"/>
  <c r="N146" i="1"/>
  <c r="O118" i="1"/>
  <c r="O43" i="1"/>
  <c r="M285" i="1"/>
  <c r="N145" i="1"/>
  <c r="N33" i="1"/>
  <c r="N281" i="1"/>
  <c r="O203" i="1"/>
  <c r="M145" i="1"/>
  <c r="N117" i="1"/>
  <c r="M33" i="1"/>
  <c r="M317" i="1"/>
  <c r="O279" i="1"/>
  <c r="N203" i="1"/>
  <c r="O165" i="1"/>
  <c r="O143" i="1"/>
  <c r="O32" i="1"/>
  <c r="O265" i="1"/>
  <c r="N165" i="1"/>
  <c r="O25" i="1"/>
  <c r="M263" i="1"/>
  <c r="M194" i="1"/>
  <c r="M138" i="1"/>
  <c r="N103" i="1"/>
  <c r="M25" i="1"/>
  <c r="N315" i="1"/>
  <c r="O225" i="1"/>
  <c r="O163" i="1"/>
  <c r="O98" i="1"/>
  <c r="O4" i="1"/>
  <c r="M225" i="1"/>
  <c r="N186" i="1"/>
  <c r="M163" i="1"/>
  <c r="N96" i="1"/>
  <c r="N4" i="1"/>
  <c r="O81" i="1"/>
  <c r="N42" i="1"/>
  <c r="O21" i="1"/>
  <c r="N242" i="1"/>
  <c r="O293" i="1"/>
  <c r="O73" i="1"/>
  <c r="O8" i="1"/>
  <c r="N22" i="1"/>
  <c r="M38" i="1"/>
  <c r="N296" i="1"/>
  <c r="N77" i="1"/>
  <c r="O114" i="1"/>
  <c r="N295" i="1"/>
  <c r="M234" i="1"/>
  <c r="M95" i="1"/>
  <c r="N275" i="1"/>
  <c r="M32" i="1"/>
  <c r="M307" i="1"/>
  <c r="M293" i="1"/>
  <c r="N273" i="1"/>
  <c r="M254" i="1"/>
  <c r="M113" i="1"/>
  <c r="O93" i="1"/>
  <c r="M54" i="1"/>
  <c r="O306" i="1"/>
  <c r="N272" i="1"/>
  <c r="O253" i="1"/>
  <c r="O161" i="1"/>
  <c r="M144" i="1"/>
  <c r="O125" i="1"/>
  <c r="N93" i="1"/>
  <c r="N73" i="1"/>
  <c r="O53" i="1"/>
  <c r="M5" i="1"/>
  <c r="M261" i="1"/>
  <c r="N116" i="1"/>
  <c r="M16" i="1"/>
  <c r="O202" i="1"/>
  <c r="M177" i="1"/>
  <c r="M158" i="1"/>
  <c r="N107" i="1"/>
  <c r="N88" i="1"/>
  <c r="N53" i="1"/>
  <c r="M107" i="1"/>
  <c r="M88" i="1"/>
  <c r="M281" i="1"/>
  <c r="O261" i="1"/>
  <c r="O238" i="1"/>
  <c r="M96" i="1"/>
  <c r="O95" i="1"/>
  <c r="O76" i="1"/>
  <c r="O15" i="1"/>
  <c r="M94" i="1"/>
  <c r="M253" i="1"/>
  <c r="O176" i="1"/>
  <c r="N284" i="1"/>
  <c r="N265" i="1"/>
  <c r="O245" i="1"/>
  <c r="N224" i="1"/>
  <c r="N201" i="1"/>
  <c r="N176" i="1"/>
  <c r="N157" i="1"/>
  <c r="M124" i="1"/>
  <c r="O106" i="1"/>
  <c r="N87" i="1"/>
  <c r="O66" i="1"/>
  <c r="O45" i="1"/>
  <c r="N24" i="1"/>
  <c r="O242" i="1"/>
  <c r="M22" i="1"/>
  <c r="N298" i="1"/>
  <c r="M279" i="1"/>
  <c r="N98" i="1"/>
  <c r="N21" i="1"/>
  <c r="O260" i="1"/>
  <c r="N38" i="1"/>
  <c r="N278" i="1"/>
  <c r="O61" i="1"/>
  <c r="O277" i="1"/>
  <c r="M235" i="1"/>
  <c r="M17" i="1"/>
  <c r="N277" i="1"/>
  <c r="O234" i="1"/>
  <c r="O16" i="1"/>
  <c r="O94" i="1"/>
  <c r="M257" i="1"/>
  <c r="O201" i="1"/>
  <c r="O157" i="1"/>
  <c r="O303" i="1"/>
  <c r="O283" i="1"/>
  <c r="M245" i="1"/>
  <c r="M196" i="1"/>
  <c r="O142" i="1"/>
  <c r="O123" i="1"/>
  <c r="O105" i="1"/>
  <c r="M87" i="1"/>
  <c r="N66" i="1"/>
  <c r="N45" i="1"/>
  <c r="O3" i="1"/>
  <c r="M79" i="1"/>
  <c r="O278" i="1"/>
  <c r="N260" i="1"/>
  <c r="O77" i="1"/>
  <c r="O258" i="1"/>
  <c r="N61" i="1"/>
  <c r="N258" i="1"/>
  <c r="N57" i="1"/>
  <c r="M57" i="1"/>
  <c r="O275" i="1"/>
  <c r="O233" i="1"/>
  <c r="O113" i="1"/>
  <c r="M233" i="1"/>
  <c r="M272" i="1"/>
  <c r="N303" i="1"/>
  <c r="M283" i="1"/>
  <c r="O263" i="1"/>
  <c r="O223" i="1"/>
  <c r="O195" i="1"/>
  <c r="O175" i="1"/>
  <c r="O155" i="1"/>
  <c r="O138" i="1"/>
  <c r="N123" i="1"/>
  <c r="N105" i="1"/>
  <c r="O86" i="1"/>
  <c r="O23" i="1"/>
  <c r="N3" i="1"/>
  <c r="O42" i="1"/>
  <c r="O296" i="1"/>
  <c r="O17" i="1"/>
  <c r="O295" i="1"/>
  <c r="O257" i="1"/>
  <c r="M114" i="1"/>
  <c r="N76" i="1"/>
  <c r="O54" i="1"/>
  <c r="M195" i="1"/>
  <c r="N175" i="1"/>
  <c r="N85" i="1"/>
  <c r="O44" i="1"/>
  <c r="N289" i="1"/>
  <c r="M289" i="1"/>
  <c r="M270" i="1"/>
  <c r="O270" i="1"/>
  <c r="N270" i="1"/>
  <c r="M90" i="1"/>
  <c r="N90" i="1"/>
  <c r="O90" i="1"/>
  <c r="M249" i="1"/>
  <c r="N249" i="1"/>
  <c r="O249" i="1"/>
  <c r="N129" i="1"/>
  <c r="O129" i="1"/>
  <c r="M49" i="1"/>
  <c r="O49" i="1"/>
  <c r="N49" i="1"/>
  <c r="O271" i="1"/>
  <c r="N291" i="1"/>
  <c r="M291" i="1"/>
  <c r="O291" i="1"/>
  <c r="M151" i="1"/>
  <c r="N151" i="1"/>
  <c r="O151" i="1"/>
  <c r="M31" i="1"/>
  <c r="O31" i="1"/>
  <c r="N31" i="1"/>
  <c r="O170" i="1"/>
  <c r="M170" i="1"/>
  <c r="N170" i="1"/>
  <c r="N269" i="1"/>
  <c r="O269" i="1"/>
  <c r="M269" i="1"/>
  <c r="N89" i="1"/>
  <c r="O89" i="1"/>
  <c r="M89" i="1"/>
  <c r="M271" i="1"/>
  <c r="O9" i="1"/>
  <c r="N211" i="1"/>
  <c r="O211" i="1"/>
  <c r="M211" i="1"/>
  <c r="M171" i="1"/>
  <c r="N171" i="1"/>
  <c r="O171" i="1"/>
  <c r="M91" i="1"/>
  <c r="N91" i="1"/>
  <c r="O91" i="1"/>
  <c r="N290" i="1"/>
  <c r="O290" i="1"/>
  <c r="N250" i="1"/>
  <c r="O250" i="1"/>
  <c r="M250" i="1"/>
  <c r="M190" i="1"/>
  <c r="N190" i="1"/>
  <c r="O190" i="1"/>
  <c r="M130" i="1"/>
  <c r="N130" i="1"/>
  <c r="O130" i="1"/>
  <c r="M110" i="1"/>
  <c r="N110" i="1"/>
  <c r="O110" i="1"/>
  <c r="M70" i="1"/>
  <c r="N70" i="1"/>
  <c r="O70" i="1"/>
  <c r="M10" i="1"/>
  <c r="N10" i="1"/>
  <c r="O10" i="1"/>
  <c r="N309" i="1"/>
  <c r="O309" i="1"/>
  <c r="O229" i="1"/>
  <c r="M229" i="1"/>
  <c r="N229" i="1"/>
  <c r="N189" i="1"/>
  <c r="O189" i="1"/>
  <c r="M189" i="1"/>
  <c r="M149" i="1"/>
  <c r="N149" i="1"/>
  <c r="O149" i="1"/>
  <c r="M69" i="1"/>
  <c r="N69" i="1"/>
  <c r="O69" i="1"/>
  <c r="N9" i="1"/>
  <c r="M191" i="1"/>
  <c r="N191" i="1"/>
  <c r="O191" i="1"/>
  <c r="N230" i="1"/>
  <c r="M230" i="1"/>
  <c r="O230" i="1"/>
  <c r="N109" i="1"/>
  <c r="O109" i="1"/>
  <c r="M111" i="1"/>
  <c r="O111" i="1"/>
  <c r="N111" i="1"/>
  <c r="M310" i="1"/>
  <c r="N310" i="1"/>
  <c r="O310" i="1"/>
  <c r="M210" i="1"/>
  <c r="N210" i="1"/>
  <c r="O210" i="1"/>
  <c r="M50" i="1"/>
  <c r="N50" i="1"/>
  <c r="O50" i="1"/>
  <c r="N209" i="1"/>
  <c r="O209" i="1"/>
  <c r="M209" i="1"/>
  <c r="M290" i="1"/>
  <c r="N251" i="1"/>
  <c r="O251" i="1"/>
  <c r="M251" i="1"/>
  <c r="M29" i="1"/>
  <c r="N29" i="1"/>
  <c r="O29" i="1"/>
  <c r="M311" i="1"/>
  <c r="O311" i="1"/>
  <c r="N311" i="1"/>
  <c r="M231" i="1"/>
  <c r="N231" i="1"/>
  <c r="O231" i="1"/>
  <c r="M131" i="1"/>
  <c r="N131" i="1"/>
  <c r="O131" i="1"/>
  <c r="M71" i="1"/>
  <c r="N71" i="1"/>
  <c r="O71" i="1"/>
  <c r="N51" i="1"/>
  <c r="O51" i="1"/>
  <c r="M51" i="1"/>
  <c r="M11" i="1"/>
  <c r="O11" i="1"/>
  <c r="M150" i="1"/>
  <c r="N150" i="1"/>
  <c r="O150" i="1"/>
  <c r="O30" i="1"/>
  <c r="M30" i="1"/>
  <c r="N30" i="1"/>
  <c r="M169" i="1"/>
  <c r="N169" i="1"/>
  <c r="O169" i="1"/>
  <c r="M312" i="1"/>
  <c r="N312" i="1"/>
  <c r="O312" i="1"/>
  <c r="M292" i="1"/>
  <c r="N292" i="1"/>
  <c r="O292" i="1"/>
  <c r="M252" i="1"/>
  <c r="N252" i="1"/>
  <c r="O252" i="1"/>
  <c r="N232" i="1"/>
  <c r="M232" i="1"/>
  <c r="O232" i="1"/>
  <c r="N212" i="1"/>
  <c r="O212" i="1"/>
  <c r="M212" i="1"/>
  <c r="O192" i="1"/>
  <c r="N192" i="1"/>
  <c r="M192" i="1"/>
  <c r="M172" i="1"/>
  <c r="N172" i="1"/>
  <c r="O172" i="1"/>
  <c r="M152" i="1"/>
  <c r="N152" i="1"/>
  <c r="O152" i="1"/>
  <c r="M132" i="1"/>
  <c r="N132" i="1"/>
  <c r="O132" i="1"/>
  <c r="M112" i="1"/>
  <c r="N112" i="1"/>
  <c r="O112" i="1"/>
  <c r="N92" i="1"/>
  <c r="M92" i="1"/>
  <c r="O92" i="1"/>
  <c r="M72" i="1"/>
  <c r="N72" i="1"/>
  <c r="O72" i="1"/>
  <c r="M52" i="1"/>
  <c r="N52" i="1"/>
  <c r="O52" i="1"/>
  <c r="O12" i="1"/>
  <c r="M12" i="1"/>
  <c r="N12" i="1"/>
  <c r="M309" i="1"/>
  <c r="O167" i="1"/>
  <c r="M167" i="1"/>
  <c r="N167" i="1"/>
  <c r="O127" i="1"/>
  <c r="M127" i="1"/>
  <c r="O67" i="1"/>
  <c r="M67" i="1"/>
  <c r="N67" i="1"/>
  <c r="O47" i="1"/>
  <c r="M47" i="1"/>
  <c r="O27" i="1"/>
  <c r="M27" i="1"/>
  <c r="N27" i="1"/>
  <c r="N306" i="1"/>
  <c r="N288" i="1"/>
  <c r="N106" i="1"/>
  <c r="N86" i="1"/>
  <c r="N8" i="1"/>
  <c r="M308" i="1"/>
  <c r="N308" i="1"/>
  <c r="O286" i="1"/>
  <c r="N304" i="1"/>
  <c r="O304" i="1"/>
  <c r="N244" i="1"/>
  <c r="O244" i="1"/>
  <c r="M204" i="1"/>
  <c r="N204" i="1"/>
  <c r="M104" i="1"/>
  <c r="N104" i="1"/>
  <c r="O104" i="1"/>
  <c r="N286" i="1"/>
  <c r="O268" i="1"/>
  <c r="N240" i="1"/>
  <c r="N221" i="1"/>
  <c r="M202" i="1"/>
  <c r="N144" i="1"/>
  <c r="O84" i="1"/>
  <c r="N40" i="1"/>
  <c r="M7" i="1"/>
  <c r="M68" i="1"/>
  <c r="N68" i="1"/>
  <c r="N126" i="1"/>
  <c r="O126" i="1"/>
  <c r="M6" i="1"/>
  <c r="N6" i="1"/>
  <c r="O6" i="1"/>
  <c r="M288" i="1"/>
  <c r="D180" i="1"/>
  <c r="N268" i="1"/>
  <c r="M240" i="1"/>
  <c r="O220" i="1"/>
  <c r="N84" i="1"/>
  <c r="M40" i="1"/>
  <c r="N248" i="1"/>
  <c r="O248" i="1"/>
  <c r="M208" i="1"/>
  <c r="N208" i="1"/>
  <c r="C22" i="1"/>
  <c r="D19" i="1"/>
  <c r="N262" i="1"/>
  <c r="O262" i="1"/>
  <c r="N222" i="1"/>
  <c r="O222" i="1"/>
  <c r="M182" i="1"/>
  <c r="N182" i="1"/>
  <c r="M82" i="1"/>
  <c r="N82" i="1"/>
  <c r="O82" i="1"/>
  <c r="M62" i="1"/>
  <c r="N62" i="1"/>
  <c r="M2" i="1"/>
  <c r="M304" i="1"/>
  <c r="O239" i="1"/>
  <c r="N220" i="1"/>
  <c r="O182" i="1"/>
  <c r="O162" i="1"/>
  <c r="O39" i="1"/>
  <c r="M301" i="1"/>
  <c r="N301" i="1"/>
  <c r="O301" i="1"/>
  <c r="M241" i="1"/>
  <c r="N241" i="1"/>
  <c r="M181" i="1"/>
  <c r="N181" i="1"/>
  <c r="M141" i="1"/>
  <c r="N141" i="1"/>
  <c r="O141" i="1"/>
  <c r="M41" i="1"/>
  <c r="N41" i="1"/>
  <c r="O41" i="1"/>
  <c r="N2" i="1"/>
  <c r="O267" i="1"/>
  <c r="N239" i="1"/>
  <c r="O199" i="1"/>
  <c r="O181" i="1"/>
  <c r="N162" i="1"/>
  <c r="O62" i="1"/>
  <c r="N39" i="1"/>
  <c r="M60" i="1"/>
  <c r="N60" i="1"/>
  <c r="M20" i="1"/>
  <c r="N20" i="1"/>
  <c r="N267" i="1"/>
  <c r="M248" i="1"/>
  <c r="O219" i="1"/>
  <c r="N199" i="1"/>
  <c r="O180" i="1"/>
  <c r="O102" i="1"/>
  <c r="M48" i="1"/>
  <c r="N48" i="1"/>
  <c r="O48" i="1"/>
  <c r="F201" i="1"/>
  <c r="D201" i="1"/>
  <c r="N159" i="1"/>
  <c r="O159" i="1"/>
  <c r="N59" i="1"/>
  <c r="O59" i="1"/>
  <c r="O228" i="1"/>
  <c r="N180" i="1"/>
  <c r="M178" i="1"/>
  <c r="N178" i="1"/>
  <c r="O178" i="1"/>
  <c r="N78" i="1"/>
  <c r="O78" i="1"/>
  <c r="M18" i="1"/>
  <c r="N18" i="1"/>
  <c r="O18" i="1"/>
  <c r="N319" i="1"/>
  <c r="O302" i="1"/>
  <c r="M284" i="1"/>
  <c r="O256" i="1"/>
  <c r="M247" i="1"/>
  <c r="N238" i="1"/>
  <c r="N228" i="1"/>
  <c r="N218" i="1"/>
  <c r="O198" i="1"/>
  <c r="N161" i="1"/>
  <c r="N142" i="1"/>
  <c r="N122" i="1"/>
  <c r="M102" i="1"/>
  <c r="N81" i="1"/>
  <c r="O60" i="1"/>
  <c r="O37" i="1"/>
  <c r="N15" i="1"/>
  <c r="M28" i="1"/>
  <c r="N28" i="1"/>
  <c r="M287" i="1"/>
  <c r="N287" i="1"/>
  <c r="O287" i="1"/>
  <c r="O207" i="1"/>
  <c r="N207" i="1"/>
  <c r="M266" i="1"/>
  <c r="N266" i="1"/>
  <c r="O266" i="1"/>
  <c r="N7" i="1"/>
  <c r="M259" i="1"/>
  <c r="N259" i="1"/>
  <c r="O259" i="1"/>
  <c r="O19" i="1"/>
  <c r="M19" i="1"/>
  <c r="O319" i="1"/>
  <c r="N297" i="1"/>
  <c r="O297" i="1"/>
  <c r="N237" i="1"/>
  <c r="M237" i="1"/>
  <c r="O237" i="1"/>
  <c r="N137" i="1"/>
  <c r="O137" i="1"/>
  <c r="M97" i="1"/>
  <c r="N97" i="1"/>
  <c r="O97" i="1"/>
  <c r="N302" i="1"/>
  <c r="O274" i="1"/>
  <c r="N256" i="1"/>
  <c r="O246" i="1"/>
  <c r="O236" i="1"/>
  <c r="M218" i="1"/>
  <c r="O208" i="1"/>
  <c r="N198" i="1"/>
  <c r="O179" i="1"/>
  <c r="O160" i="1"/>
  <c r="O140" i="1"/>
  <c r="M122" i="1"/>
  <c r="O101" i="1"/>
  <c r="O80" i="1"/>
  <c r="M59" i="1"/>
  <c r="N37" i="1"/>
  <c r="F21" i="1"/>
  <c r="D21" i="1"/>
  <c r="M226" i="1"/>
  <c r="N226" i="1"/>
  <c r="M119" i="1"/>
  <c r="N119" i="1"/>
  <c r="O119" i="1"/>
  <c r="N247" i="1"/>
  <c r="N276" i="1"/>
  <c r="O276" i="1"/>
  <c r="M156" i="1"/>
  <c r="N156" i="1"/>
  <c r="O156" i="1"/>
  <c r="M56" i="1"/>
  <c r="N56" i="1"/>
  <c r="M36" i="1"/>
  <c r="N36" i="1"/>
  <c r="O318" i="1"/>
  <c r="N274" i="1"/>
  <c r="N246" i="1"/>
  <c r="N236" i="1"/>
  <c r="N227" i="1"/>
  <c r="O217" i="1"/>
  <c r="M207" i="1"/>
  <c r="O188" i="1"/>
  <c r="N179" i="1"/>
  <c r="N160" i="1"/>
  <c r="N140" i="1"/>
  <c r="O121" i="1"/>
  <c r="N101" i="1"/>
  <c r="N80" i="1"/>
  <c r="O58" i="1"/>
  <c r="N47" i="1"/>
  <c r="C40" i="1"/>
  <c r="O26" i="1"/>
  <c r="M26" i="1"/>
  <c r="N26" i="1"/>
  <c r="M280" i="1"/>
  <c r="N280" i="1"/>
  <c r="O280" i="1"/>
  <c r="N100" i="1"/>
  <c r="O100" i="1"/>
  <c r="N255" i="1"/>
  <c r="O255" i="1"/>
  <c r="M215" i="1"/>
  <c r="N215" i="1"/>
  <c r="O215" i="1"/>
  <c r="N115" i="1"/>
  <c r="O115" i="1"/>
  <c r="M75" i="1"/>
  <c r="N75" i="1"/>
  <c r="O75" i="1"/>
  <c r="M55" i="1"/>
  <c r="N55" i="1"/>
  <c r="O55" i="1"/>
  <c r="N35" i="1"/>
  <c r="O35" i="1"/>
  <c r="N318" i="1"/>
  <c r="O300" i="1"/>
  <c r="O282" i="1"/>
  <c r="N264" i="1"/>
  <c r="M255" i="1"/>
  <c r="M227" i="1"/>
  <c r="N217" i="1"/>
  <c r="O206" i="1"/>
  <c r="O197" i="1"/>
  <c r="M188" i="1"/>
  <c r="M159" i="1"/>
  <c r="N121" i="1"/>
  <c r="M100" i="1"/>
  <c r="N58" i="1"/>
  <c r="N46" i="1"/>
  <c r="O36" i="1"/>
  <c r="M108" i="1"/>
  <c r="N108" i="1"/>
  <c r="M200" i="1"/>
  <c r="N200" i="1"/>
  <c r="O200" i="1"/>
  <c r="M294" i="1"/>
  <c r="N294" i="1"/>
  <c r="O294" i="1"/>
  <c r="N134" i="1"/>
  <c r="M134" i="1"/>
  <c r="O134" i="1"/>
  <c r="N74" i="1"/>
  <c r="O74" i="1"/>
  <c r="N34" i="1"/>
  <c r="M34" i="1"/>
  <c r="O34" i="1"/>
  <c r="N14" i="1"/>
  <c r="O14" i="1"/>
  <c r="N300" i="1"/>
  <c r="N282" i="1"/>
  <c r="M264" i="1"/>
  <c r="O254" i="1"/>
  <c r="O235" i="1"/>
  <c r="O226" i="1"/>
  <c r="N206" i="1"/>
  <c r="N197" i="1"/>
  <c r="N187" i="1"/>
  <c r="O177" i="1"/>
  <c r="O168" i="1"/>
  <c r="O158" i="1"/>
  <c r="O139" i="1"/>
  <c r="O120" i="1"/>
  <c r="O99" i="1"/>
  <c r="O79" i="1"/>
  <c r="M46" i="1"/>
  <c r="M35" i="1"/>
  <c r="N219" i="1"/>
  <c r="N314" i="1"/>
  <c r="O314" i="1"/>
  <c r="N174" i="1"/>
  <c r="M174" i="1"/>
  <c r="O174" i="1"/>
  <c r="N317" i="1"/>
  <c r="O216" i="1"/>
  <c r="N196" i="1"/>
  <c r="M187" i="1"/>
  <c r="N148" i="1"/>
  <c r="N139" i="1"/>
  <c r="N120" i="1"/>
  <c r="M13" i="1"/>
  <c r="N13" i="1"/>
  <c r="N5" i="1"/>
  <c r="N44" i="1"/>
  <c r="O273" i="1"/>
  <c r="M223" i="1"/>
  <c r="D56" i="1"/>
  <c r="D16" i="1"/>
  <c r="F277" i="1"/>
  <c r="F273" i="1"/>
  <c r="F262" i="1"/>
  <c r="F217" i="1"/>
  <c r="C77" i="1"/>
  <c r="C57" i="1"/>
  <c r="C15" i="1"/>
  <c r="C137" i="1"/>
  <c r="F37" i="1"/>
  <c r="C83" i="1"/>
  <c r="F14" i="1"/>
  <c r="C267" i="1"/>
  <c r="F255" i="1"/>
  <c r="C19" i="1"/>
  <c r="F215" i="1"/>
  <c r="C257" i="1"/>
  <c r="C17" i="1"/>
  <c r="F119" i="1"/>
  <c r="C239" i="1"/>
  <c r="F99" i="1"/>
  <c r="F98" i="1"/>
  <c r="C235" i="1"/>
  <c r="F97" i="1"/>
  <c r="C199" i="1"/>
  <c r="D162" i="1"/>
  <c r="C162" i="1"/>
  <c r="D90" i="1"/>
  <c r="F59" i="1"/>
  <c r="D82" i="1"/>
  <c r="C175" i="1"/>
  <c r="D159" i="1"/>
  <c r="C159" i="1"/>
  <c r="D62" i="1"/>
  <c r="F35" i="1"/>
  <c r="C135" i="1"/>
  <c r="D22" i="1"/>
  <c r="F240" i="1"/>
  <c r="C30" i="1"/>
  <c r="F220" i="1"/>
  <c r="F83" i="1"/>
  <c r="C190" i="1"/>
  <c r="D59" i="1"/>
  <c r="C169" i="1"/>
  <c r="C29" i="1"/>
  <c r="F219" i="1"/>
  <c r="F82" i="1"/>
  <c r="C163" i="1"/>
  <c r="C23" i="1"/>
  <c r="D42" i="1"/>
  <c r="F218" i="1"/>
  <c r="F78" i="1"/>
  <c r="F214" i="1"/>
  <c r="C157" i="1"/>
  <c r="F213" i="1"/>
  <c r="F42" i="1"/>
  <c r="F254" i="1"/>
  <c r="F53" i="1"/>
  <c r="C275" i="1"/>
  <c r="F197" i="1"/>
  <c r="F41" i="1"/>
  <c r="C268" i="1"/>
  <c r="F280" i="1"/>
  <c r="F193" i="1"/>
  <c r="D242" i="1"/>
  <c r="F278" i="1"/>
  <c r="F38" i="1"/>
  <c r="F113" i="1"/>
  <c r="C262" i="1"/>
  <c r="C261" i="1"/>
  <c r="D200" i="1"/>
  <c r="C260" i="1"/>
  <c r="C99" i="1"/>
  <c r="D199" i="1"/>
  <c r="F275" i="1"/>
  <c r="F157" i="1"/>
  <c r="F34" i="1"/>
  <c r="F253" i="1"/>
  <c r="F163" i="1"/>
  <c r="C259" i="1"/>
  <c r="C97" i="1"/>
  <c r="F274" i="1"/>
  <c r="F154" i="1"/>
  <c r="F33" i="1"/>
  <c r="D169" i="1"/>
  <c r="F257" i="1"/>
  <c r="F198" i="1"/>
  <c r="F146" i="1"/>
  <c r="F77" i="1"/>
  <c r="F90" i="1"/>
  <c r="F32" i="1"/>
  <c r="F30" i="1"/>
  <c r="D302" i="1"/>
  <c r="F62" i="1"/>
  <c r="C302" i="1"/>
  <c r="C215" i="1"/>
  <c r="D299" i="1"/>
  <c r="D122" i="1"/>
  <c r="F318" i="1"/>
  <c r="F242" i="1"/>
  <c r="F190" i="1"/>
  <c r="F123" i="1"/>
  <c r="F61" i="1"/>
  <c r="F23" i="1"/>
  <c r="F143" i="1"/>
  <c r="F63" i="1"/>
  <c r="C222" i="1"/>
  <c r="C63" i="1"/>
  <c r="F192" i="1"/>
  <c r="F142" i="1"/>
  <c r="F29" i="1"/>
  <c r="C297" i="1"/>
  <c r="D119" i="1"/>
  <c r="F317" i="1"/>
  <c r="F241" i="1"/>
  <c r="F189" i="1"/>
  <c r="F122" i="1"/>
  <c r="F60" i="1"/>
  <c r="D268" i="1"/>
  <c r="F312" i="1"/>
  <c r="F18" i="1"/>
  <c r="C202" i="1"/>
  <c r="C55" i="1"/>
  <c r="D267" i="1"/>
  <c r="F239" i="1"/>
  <c r="F118" i="1"/>
  <c r="F58" i="1"/>
  <c r="F17" i="1"/>
  <c r="C197" i="1"/>
  <c r="C103" i="1"/>
  <c r="C50" i="1"/>
  <c r="D259" i="1"/>
  <c r="F297" i="1"/>
  <c r="F234" i="1"/>
  <c r="F104" i="1"/>
  <c r="F56" i="1"/>
  <c r="F13" i="1"/>
  <c r="F152" i="1"/>
  <c r="C110" i="1"/>
  <c r="D108" i="1"/>
  <c r="F298" i="1"/>
  <c r="F238" i="1"/>
  <c r="F57" i="1"/>
  <c r="C102" i="1"/>
  <c r="D256" i="1"/>
  <c r="D102" i="1"/>
  <c r="F282" i="1"/>
  <c r="F233" i="1"/>
  <c r="F175" i="1"/>
  <c r="F103" i="1"/>
  <c r="F55" i="1"/>
  <c r="F12" i="1"/>
  <c r="D50" i="1"/>
  <c r="F145" i="1"/>
  <c r="C223" i="1"/>
  <c r="C203" i="1"/>
  <c r="C123" i="1"/>
  <c r="D110" i="1"/>
  <c r="C101" i="1"/>
  <c r="D250" i="1"/>
  <c r="D101" i="1"/>
  <c r="F281" i="1"/>
  <c r="F223" i="1"/>
  <c r="F173" i="1"/>
  <c r="F54" i="1"/>
  <c r="F308" i="1"/>
  <c r="C308" i="1"/>
  <c r="F288" i="1"/>
  <c r="D288" i="1"/>
  <c r="C288" i="1"/>
  <c r="F248" i="1"/>
  <c r="D248" i="1"/>
  <c r="C248" i="1"/>
  <c r="F228" i="1"/>
  <c r="D228" i="1"/>
  <c r="C208" i="1"/>
  <c r="D208" i="1"/>
  <c r="F208" i="1"/>
  <c r="D188" i="1"/>
  <c r="C188" i="1"/>
  <c r="F168" i="1"/>
  <c r="D168" i="1"/>
  <c r="D148" i="1"/>
  <c r="C148" i="1"/>
  <c r="D128" i="1"/>
  <c r="F128" i="1"/>
  <c r="C128" i="1"/>
  <c r="F88" i="1"/>
  <c r="D88" i="1"/>
  <c r="C88" i="1"/>
  <c r="F68" i="1"/>
  <c r="D68" i="1"/>
  <c r="C68" i="1"/>
  <c r="F48" i="1"/>
  <c r="C48" i="1"/>
  <c r="D48" i="1"/>
  <c r="D28" i="1"/>
  <c r="F28" i="1"/>
  <c r="C28" i="1"/>
  <c r="C8" i="1"/>
  <c r="F8" i="1"/>
  <c r="D8" i="1"/>
  <c r="F108" i="1"/>
  <c r="C307" i="1"/>
  <c r="F307" i="1"/>
  <c r="F287" i="1"/>
  <c r="D287" i="1"/>
  <c r="C287" i="1"/>
  <c r="F247" i="1"/>
  <c r="C247" i="1"/>
  <c r="D247" i="1"/>
  <c r="D227" i="1"/>
  <c r="F227" i="1"/>
  <c r="C207" i="1"/>
  <c r="F207" i="1"/>
  <c r="D187" i="1"/>
  <c r="C187" i="1"/>
  <c r="F167" i="1"/>
  <c r="C167" i="1"/>
  <c r="D167" i="1"/>
  <c r="D147" i="1"/>
  <c r="C147" i="1"/>
  <c r="D127" i="1"/>
  <c r="C127" i="1"/>
  <c r="F127" i="1"/>
  <c r="C107" i="1"/>
  <c r="F107" i="1"/>
  <c r="F87" i="1"/>
  <c r="D87" i="1"/>
  <c r="C87" i="1"/>
  <c r="C67" i="1"/>
  <c r="F67" i="1"/>
  <c r="D67" i="1"/>
  <c r="F47" i="1"/>
  <c r="C47" i="1"/>
  <c r="D47" i="1"/>
  <c r="D27" i="1"/>
  <c r="F27" i="1"/>
  <c r="C27" i="1"/>
  <c r="C7" i="1"/>
  <c r="F7" i="1"/>
  <c r="D7" i="1"/>
  <c r="C168" i="1"/>
  <c r="D207" i="1"/>
  <c r="F105" i="1"/>
  <c r="C46" i="1"/>
  <c r="F46" i="1"/>
  <c r="C6" i="1"/>
  <c r="F6" i="1"/>
  <c r="C185" i="1"/>
  <c r="F185" i="1"/>
  <c r="C304" i="1"/>
  <c r="F304" i="1"/>
  <c r="C186" i="1"/>
  <c r="F186" i="1"/>
  <c r="C286" i="1"/>
  <c r="F286" i="1"/>
  <c r="C206" i="1"/>
  <c r="F206" i="1"/>
  <c r="C106" i="1"/>
  <c r="F106" i="1"/>
  <c r="C285" i="1"/>
  <c r="F285" i="1"/>
  <c r="C225" i="1"/>
  <c r="F225" i="1"/>
  <c r="C165" i="1"/>
  <c r="F165" i="1"/>
  <c r="C45" i="1"/>
  <c r="F45" i="1"/>
  <c r="C5" i="1"/>
  <c r="F5" i="1"/>
  <c r="C244" i="1"/>
  <c r="F244" i="1"/>
  <c r="C204" i="1"/>
  <c r="F204" i="1"/>
  <c r="C144" i="1"/>
  <c r="F144" i="1"/>
  <c r="C124" i="1"/>
  <c r="F124" i="1"/>
  <c r="C64" i="1"/>
  <c r="F64" i="1"/>
  <c r="C24" i="1"/>
  <c r="F24" i="1"/>
  <c r="D243" i="1"/>
  <c r="F243" i="1"/>
  <c r="C243" i="1"/>
  <c r="C228" i="1"/>
  <c r="C226" i="1"/>
  <c r="F226" i="1"/>
  <c r="C86" i="1"/>
  <c r="F86" i="1"/>
  <c r="D265" i="1"/>
  <c r="F265" i="1"/>
  <c r="C85" i="1"/>
  <c r="F85" i="1"/>
  <c r="C25" i="1"/>
  <c r="F25" i="1"/>
  <c r="C284" i="1"/>
  <c r="F284" i="1"/>
  <c r="C164" i="1"/>
  <c r="F164" i="1"/>
  <c r="C84" i="1"/>
  <c r="F84" i="1"/>
  <c r="D283" i="1"/>
  <c r="C283" i="1"/>
  <c r="F283" i="1"/>
  <c r="D263" i="1"/>
  <c r="C263" i="1"/>
  <c r="F263" i="1"/>
  <c r="D306" i="1"/>
  <c r="F306" i="1"/>
  <c r="C166" i="1"/>
  <c r="F166" i="1"/>
  <c r="C26" i="1"/>
  <c r="F26" i="1"/>
  <c r="D65" i="1"/>
  <c r="F65" i="1"/>
  <c r="C266" i="1"/>
  <c r="F266" i="1"/>
  <c r="C246" i="1"/>
  <c r="F246" i="1"/>
  <c r="C126" i="1"/>
  <c r="F126" i="1"/>
  <c r="C66" i="1"/>
  <c r="F66" i="1"/>
  <c r="C305" i="1"/>
  <c r="F305" i="1"/>
  <c r="C245" i="1"/>
  <c r="F245" i="1"/>
  <c r="C205" i="1"/>
  <c r="F205" i="1"/>
  <c r="C125" i="1"/>
  <c r="F125" i="1"/>
  <c r="C264" i="1"/>
  <c r="F264" i="1"/>
  <c r="C224" i="1"/>
  <c r="F224" i="1"/>
  <c r="C184" i="1"/>
  <c r="F184" i="1"/>
  <c r="C44" i="1"/>
  <c r="F44" i="1"/>
  <c r="C4" i="1"/>
  <c r="F4" i="1"/>
  <c r="D303" i="1"/>
  <c r="C303" i="1"/>
  <c r="F303" i="1"/>
  <c r="C227" i="1"/>
  <c r="D308" i="1"/>
  <c r="F148" i="1"/>
  <c r="D261" i="1"/>
  <c r="D260" i="1"/>
  <c r="C140" i="1"/>
  <c r="C316" i="1"/>
  <c r="F316" i="1"/>
  <c r="C296" i="1"/>
  <c r="F296" i="1"/>
  <c r="C276" i="1"/>
  <c r="D276" i="1"/>
  <c r="C236" i="1"/>
  <c r="D236" i="1"/>
  <c r="F236" i="1"/>
  <c r="C216" i="1"/>
  <c r="F216" i="1"/>
  <c r="D216" i="1"/>
  <c r="C196" i="1"/>
  <c r="F196" i="1"/>
  <c r="C176" i="1"/>
  <c r="D176" i="1"/>
  <c r="C156" i="1"/>
  <c r="F156" i="1"/>
  <c r="C136" i="1"/>
  <c r="F136" i="1"/>
  <c r="D136" i="1"/>
  <c r="C116" i="1"/>
  <c r="D116" i="1"/>
  <c r="F116" i="1"/>
  <c r="C96" i="1"/>
  <c r="D96" i="1"/>
  <c r="C76" i="1"/>
  <c r="D76" i="1"/>
  <c r="C36" i="1"/>
  <c r="D36" i="1"/>
  <c r="F36" i="1"/>
  <c r="C241" i="1"/>
  <c r="C20" i="1"/>
  <c r="F256" i="1"/>
  <c r="F16" i="1"/>
  <c r="C201" i="1"/>
  <c r="F161" i="1"/>
  <c r="C161" i="1"/>
  <c r="D161" i="1"/>
  <c r="D60" i="1"/>
  <c r="F212" i="1"/>
  <c r="F52" i="1"/>
  <c r="F100" i="1"/>
  <c r="D100" i="1"/>
  <c r="D61" i="1"/>
  <c r="F141" i="1"/>
  <c r="D295" i="1"/>
  <c r="F295" i="1"/>
  <c r="C189" i="1"/>
  <c r="C272" i="1"/>
  <c r="F272" i="1"/>
  <c r="C232" i="1"/>
  <c r="F232" i="1"/>
  <c r="C172" i="1"/>
  <c r="F172" i="1"/>
  <c r="C132" i="1"/>
  <c r="F132" i="1"/>
  <c r="F252" i="1"/>
  <c r="D80" i="1"/>
  <c r="C80" i="1"/>
  <c r="F20" i="1"/>
  <c r="D315" i="1"/>
  <c r="F315" i="1"/>
  <c r="C240" i="1"/>
  <c r="D141" i="1"/>
  <c r="C112" i="1"/>
  <c r="F112" i="1"/>
  <c r="C72" i="1"/>
  <c r="F72" i="1"/>
  <c r="D311" i="1"/>
  <c r="F311" i="1"/>
  <c r="D291" i="1"/>
  <c r="F291" i="1"/>
  <c r="D271" i="1"/>
  <c r="F271" i="1"/>
  <c r="D251" i="1"/>
  <c r="F251" i="1"/>
  <c r="C251" i="1"/>
  <c r="D231" i="1"/>
  <c r="F231" i="1"/>
  <c r="D211" i="1"/>
  <c r="F211" i="1"/>
  <c r="D191" i="1"/>
  <c r="F191" i="1"/>
  <c r="D171" i="1"/>
  <c r="F171" i="1"/>
  <c r="C171" i="1"/>
  <c r="D151" i="1"/>
  <c r="F151" i="1"/>
  <c r="C151" i="1"/>
  <c r="D131" i="1"/>
  <c r="F131" i="1"/>
  <c r="D111" i="1"/>
  <c r="F111" i="1"/>
  <c r="C111" i="1"/>
  <c r="D91" i="1"/>
  <c r="F91" i="1"/>
  <c r="D71" i="1"/>
  <c r="F71" i="1"/>
  <c r="C71" i="1"/>
  <c r="D51" i="1"/>
  <c r="F51" i="1"/>
  <c r="D31" i="1"/>
  <c r="F31" i="1"/>
  <c r="C31" i="1"/>
  <c r="D11" i="1"/>
  <c r="F11" i="1"/>
  <c r="C11" i="1"/>
  <c r="C281" i="1"/>
  <c r="C231" i="1"/>
  <c r="D316" i="1"/>
  <c r="D121" i="1"/>
  <c r="F250" i="1"/>
  <c r="F40" i="1"/>
  <c r="F301" i="1"/>
  <c r="D301" i="1"/>
  <c r="F300" i="1"/>
  <c r="C300" i="1"/>
  <c r="D300" i="1"/>
  <c r="D160" i="1"/>
  <c r="F160" i="1"/>
  <c r="C200" i="1"/>
  <c r="F140" i="1"/>
  <c r="C292" i="1"/>
  <c r="F292" i="1"/>
  <c r="C92" i="1"/>
  <c r="F92" i="1"/>
  <c r="F310" i="1"/>
  <c r="C310" i="1"/>
  <c r="F290" i="1"/>
  <c r="D290" i="1"/>
  <c r="D270" i="1"/>
  <c r="F270" i="1"/>
  <c r="D230" i="1"/>
  <c r="F230" i="1"/>
  <c r="C210" i="1"/>
  <c r="D210" i="1"/>
  <c r="F170" i="1"/>
  <c r="C170" i="1"/>
  <c r="C150" i="1"/>
  <c r="D150" i="1"/>
  <c r="D130" i="1"/>
  <c r="F130" i="1"/>
  <c r="C70" i="1"/>
  <c r="F70" i="1"/>
  <c r="D70" i="1"/>
  <c r="C10" i="1"/>
  <c r="F10" i="1"/>
  <c r="D10" i="1"/>
  <c r="C280" i="1"/>
  <c r="C230" i="1"/>
  <c r="C180" i="1"/>
  <c r="D310" i="1"/>
  <c r="D220" i="1"/>
  <c r="D120" i="1"/>
  <c r="F121" i="1"/>
  <c r="F221" i="1"/>
  <c r="C221" i="1"/>
  <c r="D181" i="1"/>
  <c r="F181" i="1"/>
  <c r="C81" i="1"/>
  <c r="D81" i="1"/>
  <c r="F309" i="1"/>
  <c r="C309" i="1"/>
  <c r="F289" i="1"/>
  <c r="D289" i="1"/>
  <c r="D269" i="1"/>
  <c r="F269" i="1"/>
  <c r="C249" i="1"/>
  <c r="F249" i="1"/>
  <c r="D229" i="1"/>
  <c r="F229" i="1"/>
  <c r="C209" i="1"/>
  <c r="D209" i="1"/>
  <c r="C149" i="1"/>
  <c r="D149" i="1"/>
  <c r="F129" i="1"/>
  <c r="C129" i="1"/>
  <c r="F109" i="1"/>
  <c r="C109" i="1"/>
  <c r="F89" i="1"/>
  <c r="D89" i="1"/>
  <c r="D69" i="1"/>
  <c r="F69" i="1"/>
  <c r="C69" i="1"/>
  <c r="D49" i="1"/>
  <c r="F49" i="1"/>
  <c r="C9" i="1"/>
  <c r="F9" i="1"/>
  <c r="D9" i="1"/>
  <c r="C229" i="1"/>
  <c r="D309" i="1"/>
  <c r="F120" i="1"/>
  <c r="F80" i="1"/>
  <c r="D179" i="1"/>
  <c r="C179" i="1"/>
  <c r="C39" i="1"/>
  <c r="D39" i="1"/>
  <c r="F79" i="1"/>
  <c r="F15" i="1"/>
  <c r="D319" i="1"/>
  <c r="C319" i="1"/>
  <c r="F279" i="1"/>
  <c r="C279" i="1"/>
  <c r="D279" i="1"/>
  <c r="D139" i="1"/>
  <c r="F139" i="1"/>
  <c r="C35" i="1"/>
  <c r="F299" i="1"/>
  <c r="F235" i="1"/>
  <c r="D95" i="1"/>
  <c r="F95" i="1"/>
  <c r="D75" i="1"/>
  <c r="C75" i="1"/>
  <c r="D219" i="1"/>
  <c r="F75" i="1"/>
  <c r="C314" i="1"/>
  <c r="F314" i="1"/>
  <c r="C294" i="1"/>
  <c r="F294" i="1"/>
  <c r="C174" i="1"/>
  <c r="F174" i="1"/>
  <c r="C134" i="1"/>
  <c r="F134" i="1"/>
  <c r="C114" i="1"/>
  <c r="F114" i="1"/>
  <c r="C94" i="1"/>
  <c r="F94" i="1"/>
  <c r="F74" i="1"/>
  <c r="D195" i="1"/>
  <c r="F195" i="1"/>
  <c r="D155" i="1"/>
  <c r="F155" i="1"/>
  <c r="D115" i="1"/>
  <c r="F115" i="1"/>
  <c r="C115" i="1"/>
  <c r="F135" i="1"/>
  <c r="C313" i="1"/>
  <c r="F313" i="1"/>
  <c r="C293" i="1"/>
  <c r="F293" i="1"/>
  <c r="C153" i="1"/>
  <c r="F153" i="1"/>
  <c r="C133" i="1"/>
  <c r="F133" i="1"/>
  <c r="C93" i="1"/>
  <c r="F93" i="1"/>
  <c r="C73" i="1"/>
  <c r="F73" i="1"/>
  <c r="C255" i="1"/>
  <c r="F194" i="1"/>
  <c r="D41" i="1"/>
  <c r="F183" i="1"/>
  <c r="F117" i="1"/>
  <c r="C183" i="1"/>
  <c r="C117" i="1"/>
  <c r="D282" i="1"/>
  <c r="F182" i="1"/>
  <c r="F138" i="1"/>
  <c r="C317" i="1"/>
  <c r="C217" i="1"/>
  <c r="C182" i="1"/>
  <c r="C43" i="1"/>
  <c r="F203" i="1"/>
  <c r="F137" i="1"/>
  <c r="F3" i="1"/>
  <c r="F202" i="1"/>
  <c r="F158" i="1"/>
  <c r="C258" i="1"/>
  <c r="F258" i="1"/>
  <c r="C143" i="1"/>
  <c r="F222" i="1"/>
  <c r="F178" i="1"/>
  <c r="D237" i="1"/>
  <c r="F237" i="1"/>
  <c r="C277" i="1"/>
  <c r="C177" i="1"/>
  <c r="C142" i="1"/>
  <c r="C37" i="1"/>
  <c r="F177" i="1"/>
  <c r="F43" i="1"/>
  <c r="D318" i="1"/>
  <c r="D298" i="1"/>
  <c r="D278" i="1"/>
  <c r="D258" i="1"/>
  <c r="D238" i="1"/>
  <c r="D218" i="1"/>
  <c r="D198" i="1"/>
  <c r="D178" i="1"/>
  <c r="D158" i="1"/>
  <c r="D138" i="1"/>
  <c r="D118" i="1"/>
  <c r="D98" i="1"/>
  <c r="D78" i="1"/>
  <c r="D58" i="1"/>
  <c r="D38" i="1"/>
  <c r="D18" i="1"/>
  <c r="D314" i="1"/>
  <c r="D294" i="1"/>
  <c r="D274" i="1"/>
  <c r="D254" i="1"/>
  <c r="D234" i="1"/>
  <c r="D214" i="1"/>
  <c r="D194" i="1"/>
  <c r="D174" i="1"/>
  <c r="D154" i="1"/>
  <c r="D134" i="1"/>
  <c r="D114" i="1"/>
  <c r="D94" i="1"/>
  <c r="D74" i="1"/>
  <c r="D54" i="1"/>
  <c r="D34" i="1"/>
  <c r="D14" i="1"/>
  <c r="D313" i="1"/>
  <c r="D293" i="1"/>
  <c r="D273" i="1"/>
  <c r="D253" i="1"/>
  <c r="D233" i="1"/>
  <c r="D213" i="1"/>
  <c r="D193" i="1"/>
  <c r="D173" i="1"/>
  <c r="D153" i="1"/>
  <c r="D133" i="1"/>
  <c r="D113" i="1"/>
  <c r="D93" i="1"/>
  <c r="D73" i="1"/>
  <c r="D53" i="1"/>
  <c r="D33" i="1"/>
  <c r="D13" i="1"/>
  <c r="D312" i="1"/>
  <c r="D292" i="1"/>
  <c r="D272" i="1"/>
  <c r="D252" i="1"/>
  <c r="D232" i="1"/>
  <c r="D212" i="1"/>
  <c r="D192" i="1"/>
  <c r="D172" i="1"/>
  <c r="D152" i="1"/>
  <c r="D132" i="1"/>
  <c r="D112" i="1"/>
  <c r="D92" i="1"/>
  <c r="D72" i="1"/>
  <c r="D52" i="1"/>
  <c r="D32" i="1"/>
  <c r="D12" i="1"/>
  <c r="D266" i="1"/>
  <c r="D246" i="1"/>
  <c r="D186" i="1"/>
  <c r="D166" i="1"/>
  <c r="D146" i="1"/>
  <c r="D126" i="1"/>
  <c r="D106" i="1"/>
  <c r="D86" i="1"/>
  <c r="D66" i="1"/>
  <c r="D46" i="1"/>
  <c r="D26" i="1"/>
  <c r="D6" i="1"/>
  <c r="D185" i="1"/>
  <c r="D85" i="1"/>
  <c r="D25" i="1"/>
  <c r="D5" i="1"/>
  <c r="D286" i="1"/>
  <c r="D226" i="1"/>
  <c r="C306" i="1"/>
  <c r="D305" i="1"/>
  <c r="D285" i="1"/>
  <c r="D245" i="1"/>
  <c r="D225" i="1"/>
  <c r="D205" i="1"/>
  <c r="D165" i="1"/>
  <c r="D125" i="1"/>
  <c r="D105" i="1"/>
  <c r="D45" i="1"/>
  <c r="C265" i="1"/>
  <c r="C145" i="1"/>
  <c r="C65" i="1"/>
  <c r="D304" i="1"/>
  <c r="D284" i="1"/>
  <c r="D264" i="1"/>
  <c r="D244" i="1"/>
  <c r="D224" i="1"/>
  <c r="D204" i="1"/>
  <c r="D184" i="1"/>
  <c r="D164" i="1"/>
  <c r="D144" i="1"/>
  <c r="D124" i="1"/>
  <c r="D104" i="1"/>
  <c r="D84" i="1"/>
  <c r="D64" i="1"/>
  <c r="D44" i="1"/>
  <c r="D24" i="1"/>
  <c r="D4" i="1"/>
  <c r="D2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tc={3AE0B949-BAE8-4B1D-BD8B-9FEF0542D717}</author>
  </authors>
  <commentList>
    <comment ref="J213" authorId="0" shapeId="0" xr:uid="{3AE0B949-BAE8-4B1D-BD8B-9FEF0542D717}">
      <text>
        <t>[Threaded comment]
Your version of Excel allows you to read this threaded comment; however, any edits to it will get removed if the file is opened in a newer version of Excel. Learn more: https://go.microsoft.com/fwlink/?linkid=870924
Comment:
    Sus description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2" authorId="0" shapeId="0" xr:uid="{22C16BCB-5FEB-4CA4-B2B2-474C7568D3D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Lumped with Flow to avoid singleton</t>
        </r>
      </text>
    </comment>
    <comment ref="F69" authorId="0" shapeId="0" xr:uid="{EC6051F8-3E8D-4313-BA82-54F11B92287F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sharedStrings.xml><?xml version="1.0" encoding="utf-8"?>
<sst xmlns="http://schemas.openxmlformats.org/spreadsheetml/2006/main" count="4866" uniqueCount="766">
  <si>
    <t>rowname</t>
  </si>
  <si>
    <t>colname</t>
  </si>
  <si>
    <t>cor</t>
  </si>
  <si>
    <t>NSURPWS</t>
  </si>
  <si>
    <t>NANIWS</t>
  </si>
  <si>
    <t>WETTEDWIDTH</t>
  </si>
  <si>
    <t>BANKFULLWIDTH</t>
  </si>
  <si>
    <t>BANKFULLDEPTH</t>
  </si>
  <si>
    <t>WDRW_LDWS</t>
  </si>
  <si>
    <t>WATERINPUTWS</t>
  </si>
  <si>
    <t>AGKFFACTWS</t>
  </si>
  <si>
    <t>CBNFWS</t>
  </si>
  <si>
    <t>MANUREWS</t>
  </si>
  <si>
    <t>FERTWS</t>
  </si>
  <si>
    <t>PCTAGSLPMID2001WS</t>
  </si>
  <si>
    <t>PCTAGSLPHIGH2001WS</t>
  </si>
  <si>
    <t>PCTHAY2001WS</t>
  </si>
  <si>
    <t>SW_FLUXWS</t>
  </si>
  <si>
    <t>RUNOFFWS</t>
  </si>
  <si>
    <t>TMAX8110WS</t>
  </si>
  <si>
    <t>TMEAN8110WS</t>
  </si>
  <si>
    <t>TMIN8110WS</t>
  </si>
  <si>
    <t>TMEAN2008WS</t>
  </si>
  <si>
    <t>TMAX9120WS</t>
  </si>
  <si>
    <t>TMEAN9120WS</t>
  </si>
  <si>
    <t>TMIN9120WS</t>
  </si>
  <si>
    <t>MAST2008</t>
  </si>
  <si>
    <t>PRECIP8110WS</t>
  </si>
  <si>
    <t>NO32008WS</t>
  </si>
  <si>
    <t>PRECIP2008WS</t>
  </si>
  <si>
    <t>INORGNWETDEP2008WS</t>
  </si>
  <si>
    <t>NH42008WS</t>
  </si>
  <si>
    <t>SN2008WS</t>
  </si>
  <si>
    <t>PRECIP9120WS</t>
  </si>
  <si>
    <t>BFIWS</t>
  </si>
  <si>
    <t>ELEVWS</t>
  </si>
  <si>
    <t>MWST2008</t>
  </si>
  <si>
    <t>NABD_DENSWS</t>
  </si>
  <si>
    <t>DAMNRMSTORWS</t>
  </si>
  <si>
    <t>NABD_NRMSTORWS</t>
  </si>
  <si>
    <t>NABD_NIDSTORWS</t>
  </si>
  <si>
    <t>DAMDENSWS</t>
  </si>
  <si>
    <t>DAMNIDSTORWS</t>
  </si>
  <si>
    <t>HABTWS</t>
  </si>
  <si>
    <t>SEDWS</t>
  </si>
  <si>
    <t>CONNWS</t>
  </si>
  <si>
    <t>TEMPWS</t>
  </si>
  <si>
    <t>PCTURBLO2001WS</t>
  </si>
  <si>
    <t>PCTURBMD2001WS</t>
  </si>
  <si>
    <t>PCTDECID2001WS</t>
  </si>
  <si>
    <t>PCTMXFST2001WS</t>
  </si>
  <si>
    <t>NA2OWS</t>
  </si>
  <si>
    <t>P2O5WS</t>
  </si>
  <si>
    <t>AL2O3WS</t>
  </si>
  <si>
    <t>SIO2WS</t>
  </si>
  <si>
    <t>K2OWS</t>
  </si>
  <si>
    <t>FE2O3WS</t>
  </si>
  <si>
    <t>CAOWS</t>
  </si>
  <si>
    <t>MGOWS</t>
  </si>
  <si>
    <t>CLAYWS</t>
  </si>
  <si>
    <t>PERMWS</t>
  </si>
  <si>
    <t>SANDWS</t>
  </si>
  <si>
    <t>PCTIMP2001WS</t>
  </si>
  <si>
    <t>PCTIMPSLPHIGH2001WS</t>
  </si>
  <si>
    <t>PCTIMPSLPMID2001WS</t>
  </si>
  <si>
    <t>WWTPMINORDENSWS</t>
  </si>
  <si>
    <t>WWTPALLDENSWS</t>
  </si>
  <si>
    <t>HUDEN2010WS</t>
  </si>
  <si>
    <t>POPDEN2010WS</t>
  </si>
  <si>
    <t>PCTBURNAREA2002WS</t>
  </si>
  <si>
    <t>PCTUNDSEV2002WS</t>
  </si>
  <si>
    <t>PCTLOWSEV2002WS</t>
  </si>
  <si>
    <t>PCTMODSEV2002WS</t>
  </si>
  <si>
    <t>PCTHIGHSEV2002WS</t>
  </si>
  <si>
    <t>PCTFIRE2002WS</t>
  </si>
  <si>
    <t>ICI</t>
  </si>
  <si>
    <t>IWI</t>
  </si>
  <si>
    <t>Use?</t>
  </si>
  <si>
    <t>Category</t>
  </si>
  <si>
    <t>Subcategory_SC</t>
  </si>
  <si>
    <t>Subcategory</t>
  </si>
  <si>
    <t>Metric</t>
  </si>
  <si>
    <t>Metric_Query</t>
  </si>
  <si>
    <t>missing_from_pull</t>
  </si>
  <si>
    <t>AOI</t>
  </si>
  <si>
    <t>Year</t>
  </si>
  <si>
    <t>Short_Name</t>
  </si>
  <si>
    <t>Metric_Description</t>
  </si>
  <si>
    <t>Units</t>
  </si>
  <si>
    <t>Source</t>
  </si>
  <si>
    <t>Dataset</t>
  </si>
  <si>
    <t>y</t>
  </si>
  <si>
    <t>Anthropogenic</t>
  </si>
  <si>
    <t>Soils</t>
  </si>
  <si>
    <t>Agriculture</t>
  </si>
  <si>
    <t>agkffact[AOI]</t>
  </si>
  <si>
    <t>agkffact</t>
  </si>
  <si>
    <t>Cat, Ws</t>
  </si>
  <si>
    <t>Ag Soil Erodibility Kf Factor</t>
  </si>
  <si>
    <t>Mean of STATSGO Kffactor raster on agricultural land (NLCD 2006) within AOI. The Universal Soil Loss Equation (USLE) and represents a relative index of susceptibility of bare, cultivated soil to particle detachment and transport by rainfall</t>
  </si>
  <si>
    <t>Unitless</t>
  </si>
  <si>
    <t>Penn State Soil Info</t>
  </si>
  <si>
    <t>STATSGO Soils</t>
  </si>
  <si>
    <t>Natural</t>
  </si>
  <si>
    <t>Lithology</t>
  </si>
  <si>
    <t>al2o3[AOI]</t>
  </si>
  <si>
    <t>al2o3</t>
  </si>
  <si>
    <t>Mean Lithological Aluminum Oxide</t>
  </si>
  <si>
    <t>Mean % of lithological aluminum oxide (Al2O3) content in surface or near surface geology within AOI</t>
  </si>
  <si>
    <t>Percent</t>
  </si>
  <si>
    <t>USGS Sciencebase</t>
  </si>
  <si>
    <t>USGS Geochemistry</t>
  </si>
  <si>
    <t>n</t>
  </si>
  <si>
    <t>Base</t>
  </si>
  <si>
    <t>Area</t>
  </si>
  <si>
    <t>areasqkm[AOI]</t>
  </si>
  <si>
    <t>areasqkm</t>
  </si>
  <si>
    <t>Ws</t>
  </si>
  <si>
    <t>Watershed Area Square Kilometers</t>
  </si>
  <si>
    <t>Watershed area (square km)</t>
  </si>
  <si>
    <t>Square Kilometers</t>
  </si>
  <si>
    <t>NHDPlusV2</t>
  </si>
  <si>
    <t>All</t>
  </si>
  <si>
    <t>Other</t>
  </si>
  <si>
    <t>bankfulldepth</t>
  </si>
  <si>
    <t>Predicted Bankfull Depth</t>
  </si>
  <si>
    <t>Predicted bankfull depth: thalweg depth plus bankfull height, which is the height from the water surface to the bankfull stage</t>
  </si>
  <si>
    <t>Meters</t>
  </si>
  <si>
    <t>Doyle et al. 2023</t>
  </si>
  <si>
    <t>Predicted Channel Widths Depths</t>
  </si>
  <si>
    <t>bankfullwidth</t>
  </si>
  <si>
    <t>Predicted Bankfull Width</t>
  </si>
  <si>
    <t>Predicted bankfull width: distance from left to right bank at bankfull stage where the potential water height would spill outside of the channel and into the floodplain</t>
  </si>
  <si>
    <t>Climate</t>
  </si>
  <si>
    <t>Flow</t>
  </si>
  <si>
    <t>bfi[AOI]</t>
  </si>
  <si>
    <t>bfi</t>
  </si>
  <si>
    <t>Base Flow Index</t>
  </si>
  <si>
    <t>Base flow is the component of streamflow that can be attributed to ground-water discharge into streams. The BFI is the ratio of base flow to total flow, expressed as a percentage, within AOI</t>
  </si>
  <si>
    <t>USGS Water Mission Area</t>
  </si>
  <si>
    <t>canaldens[AOI]</t>
  </si>
  <si>
    <t>canaldens</t>
  </si>
  <si>
    <t>Canal Density</t>
  </si>
  <si>
    <t>Density of NHDPlus line features classified as canal, ditch, or pipeline within the AOI (km/ square km)</t>
  </si>
  <si>
    <t>Kilometer/Square Kilometer</t>
  </si>
  <si>
    <t>Falcone et al. 2010</t>
  </si>
  <si>
    <t>cao[AOI]</t>
  </si>
  <si>
    <t>cao</t>
  </si>
  <si>
    <t>Mean Lithological Calcium Oxide</t>
  </si>
  <si>
    <t>Mean % of lithological calcium oxide (CaO) content in surface or near surface geology within AOI</t>
  </si>
  <si>
    <t>catareasqkm[AOI]</t>
  </si>
  <si>
    <t>catareasqkm</t>
  </si>
  <si>
    <t>Cat</t>
  </si>
  <si>
    <t>Catchment Area Square Kilometers</t>
  </si>
  <si>
    <t>Area of local NHDPlus AOI (square km)</t>
  </si>
  <si>
    <t>catareasqkmrp100[AOI]</t>
  </si>
  <si>
    <t>catareasqkmrp100</t>
  </si>
  <si>
    <t>Cat, CatRp100</t>
  </si>
  <si>
    <t>AOI Area Square Kilometers Riparian 100 Meters</t>
  </si>
  <si>
    <t>Area of local NHDPlus AOIs (square km) within a 100-m buffer of NHD streams. Original NLCD 2006 water cells adjacent to NHD stream lines used to expand NHD stream lines to full water area</t>
  </si>
  <si>
    <t>Tables with Rp100 metrics</t>
  </si>
  <si>
    <t>catpctfull[AOI]</t>
  </si>
  <si>
    <t>catpctfull</t>
  </si>
  <si>
    <t>Percent Full</t>
  </si>
  <si>
    <t>Percent of the AOI that is covered by the landscape layer.</t>
  </si>
  <si>
    <t>Nutrients</t>
  </si>
  <si>
    <t>cbnf[AOI]</t>
  </si>
  <si>
    <t>cbnf</t>
  </si>
  <si>
    <t>Cultivated Biological Nitrogen Fixation Mean Rate</t>
  </si>
  <si>
    <t>Mean rate of biological nitrogen fixation from the cultivation of crops in kg N/ha/yr, within AOI</t>
  </si>
  <si>
    <t>Kilogram/Hectar/Year</t>
  </si>
  <si>
    <t>EnviroAtlas</t>
  </si>
  <si>
    <t>Agricultural Nitrogen</t>
  </si>
  <si>
    <t>chem[AOI]</t>
  </si>
  <si>
    <t>chem</t>
  </si>
  <si>
    <t>CHEM</t>
  </si>
  <si>
    <t>Revised index of regulation of water chemistry component score calculated using AOI metrics (version 2.1) based on Johnson et al. 2018 STOTEN</t>
  </si>
  <si>
    <t>Johnson et al. 2019</t>
  </si>
  <si>
    <t>Index of Watershed Integrity</t>
  </si>
  <si>
    <t>clay[AOI]</t>
  </si>
  <si>
    <t>clay</t>
  </si>
  <si>
    <t>Clay Mean</t>
  </si>
  <si>
    <t>Mean % clay content of soils (STATSGO) within AOI</t>
  </si>
  <si>
    <t>Carlisle et al. 2009</t>
  </si>
  <si>
    <t>Mining_Toxics</t>
  </si>
  <si>
    <t>coalminedens[AOI]</t>
  </si>
  <si>
    <t>coalminedens</t>
  </si>
  <si>
    <t>Coal Mine Density</t>
  </si>
  <si>
    <t>Density of coal mines sites within AOI (mines/square km)</t>
  </si>
  <si>
    <t>Count/Square Kilometer</t>
  </si>
  <si>
    <t>USGS NCRDS</t>
  </si>
  <si>
    <t>Coal Mines</t>
  </si>
  <si>
    <t>compstrgth[AOI]</t>
  </si>
  <si>
    <t>compstrgth</t>
  </si>
  <si>
    <t>Mean Lithological Compressive Strength</t>
  </si>
  <si>
    <t>Mean lithological uniaxial compressive strength (megaPascals) content in surface or near surface geology within AOI</t>
  </si>
  <si>
    <t>conn[AOI]</t>
  </si>
  <si>
    <t>conn</t>
  </si>
  <si>
    <t>CONN</t>
  </si>
  <si>
    <t>Hydrologic connectivity component score calculated using AOI metrics</t>
  </si>
  <si>
    <t>Dams</t>
  </si>
  <si>
    <t>damdens[AOI]</t>
  </si>
  <si>
    <t>damdens</t>
  </si>
  <si>
    <t>Dam Density</t>
  </si>
  <si>
    <t>Density of georeferenced dams within AOI (dams/ square km)</t>
  </si>
  <si>
    <t>USGS NAWQA</t>
  </si>
  <si>
    <t>damnidstor[AOI]</t>
  </si>
  <si>
    <t>damnidstor</t>
  </si>
  <si>
    <t>Dam Resevoir NID Volume</t>
  </si>
  <si>
    <t>Volume all reservoirs (NID_STORA in NID) per unit area of AOI (cubic meters/square km)</t>
  </si>
  <si>
    <t>Cubic Meters/Square Kilometer</t>
  </si>
  <si>
    <t>damnrmstor[AOI]</t>
  </si>
  <si>
    <t>damnrmstor</t>
  </si>
  <si>
    <t>Dam Resevoir Normal Volume</t>
  </si>
  <si>
    <t>Volume all reservoirs (NORM_STORA in NID) per unit area of AOI (cubic meters/square km)</t>
  </si>
  <si>
    <t>elev[AOI]</t>
  </si>
  <si>
    <t>elev</t>
  </si>
  <si>
    <t>Mean Elevation</t>
  </si>
  <si>
    <t>Mean AOI elevation (m)</t>
  </si>
  <si>
    <t>Elevation</t>
  </si>
  <si>
    <t>fe2o3[AOI]</t>
  </si>
  <si>
    <t>fe2o3</t>
  </si>
  <si>
    <t>Mean Lithological Ferric Oxide</t>
  </si>
  <si>
    <t>Mean % of lithological ferric oxide (Fe2O3) content in surface or near surface geology within AOI</t>
  </si>
  <si>
    <t>fert[AOI]</t>
  </si>
  <si>
    <t>fert</t>
  </si>
  <si>
    <t>Synthetic Nitrogen Fertilizer Application Mean Rate</t>
  </si>
  <si>
    <t>Mean rate of synthetic nitrogen fertilizer application to agricultural land in kg N/ha/yr, within the AOI</t>
  </si>
  <si>
    <t>habt[AOI]</t>
  </si>
  <si>
    <t>habt</t>
  </si>
  <si>
    <t>HABT</t>
  </si>
  <si>
    <t>Habitat provision component score calculated using AOI metrics</t>
  </si>
  <si>
    <t>Urban</t>
  </si>
  <si>
    <t>huden[Year][AOI]</t>
  </si>
  <si>
    <t>huden2010</t>
  </si>
  <si>
    <t>Cat, Ws, CatRp100, WsRp100</t>
  </si>
  <si>
    <t>2010</t>
  </si>
  <si>
    <t>Mean Housing Density</t>
  </si>
  <si>
    <t>Mean housing unit density (housing units/square km) within AOI.</t>
  </si>
  <si>
    <t>US Census</t>
  </si>
  <si>
    <t>Census</t>
  </si>
  <si>
    <t>hyd[AOI]</t>
  </si>
  <si>
    <t>hyd</t>
  </si>
  <si>
    <t>nan</t>
  </si>
  <si>
    <t>Hydrologic regulation component score calculated using AOI metrics</t>
  </si>
  <si>
    <t>Johson et al. 2019</t>
  </si>
  <si>
    <t>hydrlcond[AOI]</t>
  </si>
  <si>
    <t>hydrlcond</t>
  </si>
  <si>
    <t>Mean Hydraulic Conductivity</t>
  </si>
  <si>
    <t>Mean lithological hydraulic conductivity (micrometers per second) content in surface or near surface geology within AOI</t>
  </si>
  <si>
    <t>ici[AOI]</t>
  </si>
  <si>
    <t>ici</t>
  </si>
  <si>
    <t>Revised Index of catchment integrity (version 2.1) based on Johnson et al. 2018 STOTEN</t>
  </si>
  <si>
    <t>Deposition</t>
  </si>
  <si>
    <t>inorgnwetdep[Year][AOI]</t>
  </si>
  <si>
    <t>inorgnwetdep2008</t>
  </si>
  <si>
    <t>2008</t>
  </si>
  <si>
    <t>Mean Annual Precipitation-Weighted Nitrogen</t>
  </si>
  <si>
    <t>Annual gradient map of precipitation-weighted mean deposition for inorganic nitrogen wet deposition from nitrate and ammonium for 2008 in kg of N/ha/yr, within AOI</t>
  </si>
  <si>
    <t>Kilogram/Hectare/Year</t>
  </si>
  <si>
    <t>NADP</t>
  </si>
  <si>
    <t>instream</t>
  </si>
  <si>
    <t>1 = on-network lake and data were taken from StreamCat; 0 = off-network lake and custom AOIs  was needed to generate LakeCat data</t>
  </si>
  <si>
    <t>Binary</t>
  </si>
  <si>
    <t>iwi[AOI]</t>
  </si>
  <si>
    <t>iwi</t>
  </si>
  <si>
    <t>k2o[AOI]</t>
  </si>
  <si>
    <t>k2o</t>
  </si>
  <si>
    <t>InorgNWetDep</t>
  </si>
  <si>
    <t>Mean % of lithological potassium oxide (K2O) content in surface or near surface geology within AOI</t>
  </si>
  <si>
    <t>kffact[AOI]</t>
  </si>
  <si>
    <t>kffact</t>
  </si>
  <si>
    <t>Mean Soil Erodibility KF Factor</t>
  </si>
  <si>
    <t>Mean of STATSGO Kffactor raster within AOI. The Universal Soil Loss Equation (USLE) and represents a relative index of susceptibility of bare, cultivated soil to particle detachment and transport by rainfall</t>
  </si>
  <si>
    <t>manure[AOI]</t>
  </si>
  <si>
    <t>manure</t>
  </si>
  <si>
    <t>Mean Manure Application Rate</t>
  </si>
  <si>
    <t>Mean rate of manure application to agricultural land from confined animal feeding operations in kg N/ha/yr, within AOI</t>
  </si>
  <si>
    <t>mast[Year]</t>
  </si>
  <si>
    <t>mast2008</t>
  </si>
  <si>
    <t>2008, 2009, 2013, 2014</t>
  </si>
  <si>
    <t>Mean Annual Stream Temp</t>
  </si>
  <si>
    <t>Predicted mean annual stream temperature (Jan-Dec) for year 2008, 2009, 2013, 2014</t>
  </si>
  <si>
    <t>Celsius</t>
  </si>
  <si>
    <t>Hill et al. 2013</t>
  </si>
  <si>
    <t>Predicted Reference Stream Temperature</t>
  </si>
  <si>
    <t>mgo[AOI]</t>
  </si>
  <si>
    <t>mgo</t>
  </si>
  <si>
    <t>Mean Lithological Magnesium Oxide</t>
  </si>
  <si>
    <t>Mean % of lithological magnesium oxide (MgO) content in surface or near surface geology within AOI</t>
  </si>
  <si>
    <t>minedens[AOI]</t>
  </si>
  <si>
    <t>minedens</t>
  </si>
  <si>
    <t>Mine Density</t>
  </si>
  <si>
    <t>Density of mines sites within AOI (mines/square km)</t>
  </si>
  <si>
    <t>USGS</t>
  </si>
  <si>
    <t>Mines</t>
  </si>
  <si>
    <t>msst[Year]</t>
  </si>
  <si>
    <t>msst2008</t>
  </si>
  <si>
    <t>Mean Summer Stream Temp</t>
  </si>
  <si>
    <t>Predicted mean summer stream temperature (July-Aug) for years 2008, 2009, 2013, 2014</t>
  </si>
  <si>
    <t>mwst[Year]</t>
  </si>
  <si>
    <t>mwst2008</t>
  </si>
  <si>
    <t>Mean Winter Stream Temp</t>
  </si>
  <si>
    <t>Predicted mean winter stream temperature (Jan-Feb) for year 2008, 2009, 2013, 2014</t>
  </si>
  <si>
    <t>n[AOI]</t>
  </si>
  <si>
    <t>Mean Lithological Nitrogen</t>
  </si>
  <si>
    <t>Mean % of lithological nitrogen (N) content in surface or near surface geology within AOI</t>
  </si>
  <si>
    <t>na2o[AOI]</t>
  </si>
  <si>
    <t>na2o</t>
  </si>
  <si>
    <t>Mean Lithological Sodium Oxide</t>
  </si>
  <si>
    <t>Mean % of lithological sodium oxide (Na2O) content in surface or near surface geology within AOI</t>
  </si>
  <si>
    <t>NABD_Dens[AOI]</t>
  </si>
  <si>
    <t>NABD_Dens</t>
  </si>
  <si>
    <t>NABD Dam Density</t>
  </si>
  <si>
    <t>NABD_NIDStor[AOI]</t>
  </si>
  <si>
    <t>NABD_NIDStor</t>
  </si>
  <si>
    <t>NABD NID Reservoir Volume</t>
  </si>
  <si>
    <t>NABD_NrmStor[AOI]</t>
  </si>
  <si>
    <t>NABD_NrmStor</t>
  </si>
  <si>
    <t>NABD Normal Reservoir Volume</t>
  </si>
  <si>
    <t>nani[AOI]</t>
  </si>
  <si>
    <t>nani</t>
  </si>
  <si>
    <t>Anthropogenic Nitrogen</t>
  </si>
  <si>
    <t>Net Anthropogenic Nitrogen within AOI: farm fertilizer + urban fertilizer + NOx deposition + CBNF + Human and Livestock food - crop N content - livestock N content</t>
  </si>
  <si>
    <t>Pennino et al. 2020</t>
  </si>
  <si>
    <t>NSURP NANI</t>
  </si>
  <si>
    <t>nh4[Year][AOI]</t>
  </si>
  <si>
    <t>nh42008</t>
  </si>
  <si>
    <t>Mean annual Precipitation-Weighted NH4 Mean</t>
  </si>
  <si>
    <t>Annual gradient map of precipitation-weighted mean deposition for ammonium ion concentration wet deposition for 2008 in kg of NH4/ha/yr, within AOI</t>
  </si>
  <si>
    <t>no3[Year][AOI]</t>
  </si>
  <si>
    <t>no32008</t>
  </si>
  <si>
    <t>Mean Annual Precipitation-Weighted NO3 Mean</t>
  </si>
  <si>
    <t>Annual gradient map of precipitation-weighted mean deposition for nitrate ion concentration wet deposition for 2008 in kg of NO3/ha/yr, within AOI</t>
  </si>
  <si>
    <t>npdesdens[AOI]</t>
  </si>
  <si>
    <t>npdesdens</t>
  </si>
  <si>
    <t>NPDES Site Density</t>
  </si>
  <si>
    <t>Density of permitted NPDES (National Pollutant Discharge Elimination System) sites within AOI (sites/square km)</t>
  </si>
  <si>
    <t>EPA FRS</t>
  </si>
  <si>
    <t>nsurp[AOI]</t>
  </si>
  <si>
    <t>nsurp</t>
  </si>
  <si>
    <t>Nitrogen Surplus</t>
  </si>
  <si>
    <t>Nitrogen Surplus (kg N / yr) per AOI - excluding biological N Fixation</t>
  </si>
  <si>
    <t>om[AOI]</t>
  </si>
  <si>
    <t>om</t>
  </si>
  <si>
    <t>Organic Matter Mean</t>
  </si>
  <si>
    <t>Mean organic matter content (% by weight) of soils (STATSGO) within AOI</t>
  </si>
  <si>
    <t>p2o5[AOI]</t>
  </si>
  <si>
    <t>p2o5</t>
  </si>
  <si>
    <t>Mean Lithological Phosphorous Oxide</t>
  </si>
  <si>
    <t>Mean % of lithological phosphorous oxide (P2O5) content in surface or near surface geology within AOI</t>
  </si>
  <si>
    <t>pctagdrainage[AOI]</t>
  </si>
  <si>
    <t>pctagdrainage</t>
  </si>
  <si>
    <t>Agricultural Drainage</t>
  </si>
  <si>
    <t>This dataset represents % of land with agricultural drainage, described in DOI: 10.1016/j.scitotenv.2020.137661, within individual, local NHDPlusV2 catchments and upstream, contributing watersheds.</t>
  </si>
  <si>
    <t>Ag Tiling</t>
  </si>
  <si>
    <t>pctagslphigh[Year][AOI]</t>
  </si>
  <si>
    <t>pctagslphigh2001</t>
  </si>
  <si>
    <t>2001, 2004, 2006, 2008, 2011, 2013, 2016, 2019</t>
  </si>
  <si>
    <t>Percent of Agriculture of 20% Slope</t>
  </si>
  <si>
    <t>% of AOI area classified as ag land cover (NLCD classes 81-82) occurring on slopes &gt; 20%</t>
  </si>
  <si>
    <t>NLCD</t>
  </si>
  <si>
    <t>Ag On Slopes</t>
  </si>
  <si>
    <t>pctagslpmid[Year][AOI]</t>
  </si>
  <si>
    <t>pctagslpmid2001</t>
  </si>
  <si>
    <t>Percent of Agriculture of 10% Slope</t>
  </si>
  <si>
    <t>% of AOI area classified as ag land cover (NLCD classes 81-82) occurring on slopes &gt; 10%</t>
  </si>
  <si>
    <t>pctalkintruvol[AOI]</t>
  </si>
  <si>
    <t>pctalkintruvol</t>
  </si>
  <si>
    <t>Alkaline Intrusive Volcanic Rock</t>
  </si>
  <si>
    <t>% of AOI area classified as lithology type: alkaline intrusive volcanic rock</t>
  </si>
  <si>
    <t>pctalluvcoast[AOI]</t>
  </si>
  <si>
    <t>pctalluvcoast</t>
  </si>
  <si>
    <t>Alluvium &amp; Fine-Textured Coastal Zone Sediment</t>
  </si>
  <si>
    <t>% of AOI area classified as lithology type: alluvium and fine-textured coastal zone sediment</t>
  </si>
  <si>
    <t>Land Cover</t>
  </si>
  <si>
    <t>pctbl[Year][AOI]</t>
  </si>
  <si>
    <t>pctbl2001</t>
  </si>
  <si>
    <t>Bedrock and Similar Earthen Material Percentage</t>
  </si>
  <si>
    <t>% of AOI area classified as barren land cover (NLCD class 31)</t>
  </si>
  <si>
    <t>Wildfire</t>
  </si>
  <si>
    <t>pctburnarea[Year][AOI]</t>
  </si>
  <si>
    <t>pctburnarea2002</t>
  </si>
  <si>
    <t>1984-2018</t>
  </si>
  <si>
    <t>Wildfire Burn Percent 1984-2018</t>
  </si>
  <si>
    <t>Mean % of AOI burned from wildfires for each year for 1984-2018</t>
  </si>
  <si>
    <t>MTBS</t>
  </si>
  <si>
    <t>pctcarbresid[AOI]</t>
  </si>
  <si>
    <t>pctcarbresid</t>
  </si>
  <si>
    <t>Carbonate Residual Material</t>
  </si>
  <si>
    <t>% of AOI area classified as lithology type: carbonate residual material</t>
  </si>
  <si>
    <t>pctcoastcrs[AOI]</t>
  </si>
  <si>
    <t>pctcoastcrs</t>
  </si>
  <si>
    <t>Coastal Zone Sediment, Coarse-Textured</t>
  </si>
  <si>
    <t>% of AOI area classified as lithology type: coastal zone sediment, coarse-textured</t>
  </si>
  <si>
    <t>pctcolluvsed[AOI]</t>
  </si>
  <si>
    <t>pctcolluvsed</t>
  </si>
  <si>
    <t>Colluvial Sediment</t>
  </si>
  <si>
    <t>% of AOI area classified as lithology type: colluvial sediment</t>
  </si>
  <si>
    <t>pctconif[Year][AOI]</t>
  </si>
  <si>
    <t>pctconif2001</t>
  </si>
  <si>
    <t>Evergreen Forest Percentage</t>
  </si>
  <si>
    <t>% of AOI area classified as evergreen forest land cover (NLCD class 42)</t>
  </si>
  <si>
    <t>pctcrop[Year][AOI]</t>
  </si>
  <si>
    <t>pctcrop2001</t>
  </si>
  <si>
    <t>Row Crop Percentage</t>
  </si>
  <si>
    <t>% of AOI area classified as crop land use (NLCD class 82)</t>
  </si>
  <si>
    <t>pctdecid[Year][AOI]</t>
  </si>
  <si>
    <t>pctdecid2001</t>
  </si>
  <si>
    <t>Deciduous Forest Percentage</t>
  </si>
  <si>
    <t>% of AOI area classified as deciduous forest land cover (NLCD class 41)</t>
  </si>
  <si>
    <t>pcteolcrs[AOI]</t>
  </si>
  <si>
    <t>pcteolcrs</t>
  </si>
  <si>
    <t>Eolian Sediment, Coarse-Textured</t>
  </si>
  <si>
    <t>% of AOI area classified as lithology type: eolian sediment, coarse-textured (sand dunes)</t>
  </si>
  <si>
    <t>pcteolfine[AOI]</t>
  </si>
  <si>
    <t>pcteolfine</t>
  </si>
  <si>
    <t>Eolian Sediment, Fine-Textured</t>
  </si>
  <si>
    <t>% of AOI area classified as lithology type: eolian sediment, fine-textured (glacial loess)</t>
  </si>
  <si>
    <t>pctextruvol[AOI]</t>
  </si>
  <si>
    <t>pctextruvol</t>
  </si>
  <si>
    <t>Extrusive Volcanic Rock</t>
  </si>
  <si>
    <t>% of AOI area classified as lithology type: extrusive volcanic rock</t>
  </si>
  <si>
    <t>pctfire[Year][AOI]</t>
  </si>
  <si>
    <t>pctfire2002</t>
  </si>
  <si>
    <t>2001, 2002, 2003, 2004, 2005, 2006, 2007, 2008, 2009, 2010</t>
  </si>
  <si>
    <t>Forest Fire Loss</t>
  </si>
  <si>
    <t>% Forest loss to fire (fire perimeter) within AOI</t>
  </si>
  <si>
    <t>pctfrstloss[Year][AOI]</t>
  </si>
  <si>
    <t>pctfrstloss2002</t>
  </si>
  <si>
    <t>2001, 2002, 2003, 2004, 2005, 2006, 2007, 2008, 2009, 2010, 2011, 2012, 2013</t>
  </si>
  <si>
    <t>Forest Loss</t>
  </si>
  <si>
    <t>% Forest cover loss (Tree canopy cover change) within AOI</t>
  </si>
  <si>
    <t>University of Maryland</t>
  </si>
  <si>
    <t>Forest Loss By Year</t>
  </si>
  <si>
    <t>pctglaclakecrs[AOI]</t>
  </si>
  <si>
    <t>pctglaclakecrs</t>
  </si>
  <si>
    <t>Glacial Outwash and Glacial Lake Sediment</t>
  </si>
  <si>
    <t>% of AOI area classified as lithology type: glacial outwash and glacial lake sediment, coarse-textured</t>
  </si>
  <si>
    <t>pctglaclakefine[AOI]</t>
  </si>
  <si>
    <t>pctglaclakefine</t>
  </si>
  <si>
    <t>Glacial Outwash and Glacial Lake</t>
  </si>
  <si>
    <t>% of AOI area classified as lithology type: glacial lake sediment, fine-textured</t>
  </si>
  <si>
    <t>pctglactilclay[AOI]</t>
  </si>
  <si>
    <t>pctglactilclay</t>
  </si>
  <si>
    <t>Glacial Till, Clayey</t>
  </si>
  <si>
    <t>% of AOI area classified as lithology type: glacial till, clayey</t>
  </si>
  <si>
    <t>pctglactilcrs[AOI]</t>
  </si>
  <si>
    <t>pctglactilcrs</t>
  </si>
  <si>
    <t>Glacial Till, Coarse-Textured</t>
  </si>
  <si>
    <t>% of AOI area classified as lithology type: glacial till, coarse-textured</t>
  </si>
  <si>
    <t>pctglactilloam[AOI]</t>
  </si>
  <si>
    <t>pctglactilloam</t>
  </si>
  <si>
    <t>Glacial Till, Loamy</t>
  </si>
  <si>
    <t>% of AOI area classified as lithology type: glacial till, loamy</t>
  </si>
  <si>
    <t>pctgrs[Year][AOI]</t>
  </si>
  <si>
    <t>pctgrs2001</t>
  </si>
  <si>
    <t>Grassland/Herbaceous Percentage</t>
  </si>
  <si>
    <t>% of AOI area classified as grassland/herbaceous land cover (NLCD class 71)</t>
  </si>
  <si>
    <t>pcthay[Year][AOI]</t>
  </si>
  <si>
    <t>pcthay2001</t>
  </si>
  <si>
    <t>Pasture/Hay Percentage</t>
  </si>
  <si>
    <t>% of AOI area classified as hay land use (NLCD class 81)</t>
  </si>
  <si>
    <t>pcthbwet[Year][AOI]</t>
  </si>
  <si>
    <t>pcthbwet2001</t>
  </si>
  <si>
    <t>Herbaceous Wetland Percentage</t>
  </si>
  <si>
    <t>% of AOI area classified as herbaceous wetland land cover (NLCD class 95)</t>
  </si>
  <si>
    <t>pcthighsev[Year][AOI]</t>
  </si>
  <si>
    <t>pcthighsev2002</t>
  </si>
  <si>
    <t>Percent High Burn Severity Class For Year</t>
  </si>
  <si>
    <t>% of AOI in each burn severity class for wildfires for each year for 1984-2018</t>
  </si>
  <si>
    <t>pcthydric[AOI]</t>
  </si>
  <si>
    <t>pcthydric</t>
  </si>
  <si>
    <t>Hydric, Peat &amp; Muck</t>
  </si>
  <si>
    <t>% of AOI area classified as lithology type: hydric, peat and muck</t>
  </si>
  <si>
    <t>pctice[Year][AOI]</t>
  </si>
  <si>
    <t>pctice2001</t>
  </si>
  <si>
    <t>Ice/Snow Cover Percentage</t>
  </si>
  <si>
    <t>% of AOI area classified as ice/snow land cover (NLCD class 12)</t>
  </si>
  <si>
    <t>pctimp[Year][AOI]</t>
  </si>
  <si>
    <t>pctimp2001</t>
  </si>
  <si>
    <t>Mean Imperviousness</t>
  </si>
  <si>
    <t>Mean imperviousness of anthropogenic surfaces within AOI  (NLCD)</t>
  </si>
  <si>
    <t>Impervious Surfaces</t>
  </si>
  <si>
    <t>pctimpslphigh[Year][AOI]</t>
  </si>
  <si>
    <t>pctimpslphigh2001</t>
  </si>
  <si>
    <t>Percent Imperviousness on 20% Slope</t>
  </si>
  <si>
    <t>Percent of AOI area classified as impervious occuring on slpes &gt; 20%</t>
  </si>
  <si>
    <t>pctimpslpmid[Year][AOI]</t>
  </si>
  <si>
    <t>pctimpslpmid2001</t>
  </si>
  <si>
    <t>Percent Imperviousness on 10% Slope</t>
  </si>
  <si>
    <t>Percent of AOI area classified as impervious occuring on slpes &gt; 10%</t>
  </si>
  <si>
    <t>pctincvegresp[Year][AOI]</t>
  </si>
  <si>
    <t>pctincvegresp2002</t>
  </si>
  <si>
    <t>Percent Increased Greenness and Veg Response Class For Year</t>
  </si>
  <si>
    <t>pctlowsev[Year][AOI]</t>
  </si>
  <si>
    <t>pctlowsev2002</t>
  </si>
  <si>
    <t>Percent Low Burn Severity Class For Year</t>
  </si>
  <si>
    <t>pctmodsev[Year][AOI]</t>
  </si>
  <si>
    <t>pctmodsev2002</t>
  </si>
  <si>
    <t>Percent Moderate Burn Severity Class For Year</t>
  </si>
  <si>
    <t>pctmxfst[Year][AOI]</t>
  </si>
  <si>
    <t>pctmxfst2001</t>
  </si>
  <si>
    <t>Mixed Deciduous/Evergreen Forest Percentage</t>
  </si>
  <si>
    <t>% of AOI area classified as mixed deciduous/evergreen forest land cover (NLCD class 43)</t>
  </si>
  <si>
    <t>pctnonagintrodmanagveg[AOI]</t>
  </si>
  <si>
    <t>pctnonagintrodmanagveg</t>
  </si>
  <si>
    <t>Nonnative Vegetation Landcover</t>
  </si>
  <si>
    <t>% Nonagriculture nonnative introduced or managed vegetation landcover type reclassed from LANDFIRE Existing Vegetation Type (EVT), within AOI</t>
  </si>
  <si>
    <t>Landfire</t>
  </si>
  <si>
    <t>NonAgIntrodManagVeg</t>
  </si>
  <si>
    <t>pctnoncarbresid[AOI]</t>
  </si>
  <si>
    <t>pctnoncarbresid</t>
  </si>
  <si>
    <t>Non-Carbonate Residual Material</t>
  </si>
  <si>
    <t>% of AOI area classified as lithology type: non-carbonate residual material</t>
  </si>
  <si>
    <t>pctnonprocmask[Year][AOI]</t>
  </si>
  <si>
    <t>pctnonprocmask2002</t>
  </si>
  <si>
    <t>Percent Non Processing Mask Class For Year</t>
  </si>
  <si>
    <t>pctow[Year][AOI]</t>
  </si>
  <si>
    <t>pctow2001</t>
  </si>
  <si>
    <t>Open Water Percentage</t>
  </si>
  <si>
    <t>% of AOI area classified as open water land cover (NLCD class 11)</t>
  </si>
  <si>
    <t>pctsallake[AOI]</t>
  </si>
  <si>
    <t>pctsallake</t>
  </si>
  <si>
    <t>Saline Lake Sediment</t>
  </si>
  <si>
    <t>% of AOI area classified as lithology type: saline like sediment</t>
  </si>
  <si>
    <t>pctshrb[Year][AOI]</t>
  </si>
  <si>
    <t>pctshrb2001</t>
  </si>
  <si>
    <t>Shrub/Scrub Percentage</t>
  </si>
  <si>
    <t>% of AOI area classified as shrub/scrub land cover (NLCD class 52)</t>
  </si>
  <si>
    <t>pctsilicic[AOI]</t>
  </si>
  <si>
    <t>pctsilicic</t>
  </si>
  <si>
    <t>Silicic Residual Material</t>
  </si>
  <si>
    <t>% of AOI area classified as lithology type: silicic residual material</t>
  </si>
  <si>
    <t>pctundsev[Year][AOI]</t>
  </si>
  <si>
    <t>pctundsev2002</t>
  </si>
  <si>
    <t>Percent Underburned to Low Burn Severity Class For Year</t>
  </si>
  <si>
    <t>pcturbhi[Year][AOI]</t>
  </si>
  <si>
    <t>pcturbhi2001</t>
  </si>
  <si>
    <t>Developed, High Intensity Land Use Percentage</t>
  </si>
  <si>
    <t>% of AOI area classified as developed, high-intensity land use (NLCD class 24)</t>
  </si>
  <si>
    <t>pcturblo[Year][AOI]</t>
  </si>
  <si>
    <t>pcturblo2001</t>
  </si>
  <si>
    <t>Developed, Low Intensity Land Use Percentage</t>
  </si>
  <si>
    <t>% of AOI area classified as developed, low-intensity land use (NLCD class 22)</t>
  </si>
  <si>
    <t>pcturbmd[Year][AOI]</t>
  </si>
  <si>
    <t>pcturbmd2001</t>
  </si>
  <si>
    <t>Developed, Medium Intensity Land Use Percentage</t>
  </si>
  <si>
    <t>% of AOI area classified as developed, medium-intensity land use (NLCD class 23)</t>
  </si>
  <si>
    <t>pcturbop[Year][AOI]</t>
  </si>
  <si>
    <t>pcturbop2001</t>
  </si>
  <si>
    <t>Developed, Open Space Land Use Percentage</t>
  </si>
  <si>
    <t>% of AOI area classified as developed, open space land use (NLCD class 21)</t>
  </si>
  <si>
    <t>pctwater[AOI]</t>
  </si>
  <si>
    <t>pctwater</t>
  </si>
  <si>
    <t>Water</t>
  </si>
  <si>
    <t>% of AOI area classified as lithology type: water</t>
  </si>
  <si>
    <t>pctwdwet[Year][AOI]</t>
  </si>
  <si>
    <t>pctwdwet2001</t>
  </si>
  <si>
    <t>Woody Wetland Percentage</t>
  </si>
  <si>
    <t>% of AOI area classified as woody wetland land cover (NLCD class 90)</t>
  </si>
  <si>
    <t>perm[AOI]</t>
  </si>
  <si>
    <t>perm</t>
  </si>
  <si>
    <t>Mean Permeability</t>
  </si>
  <si>
    <t>Mean permeability (cm/hour) of soils (STATSGO) within AOI</t>
  </si>
  <si>
    <t>pestic[Year][AOI]</t>
  </si>
  <si>
    <t>pestic1997</t>
  </si>
  <si>
    <t>1997</t>
  </si>
  <si>
    <t>Mean Pesticide Use</t>
  </si>
  <si>
    <t>Mean pesticide use (kg/km2) in yr. 1997 within AOI</t>
  </si>
  <si>
    <t>Kilogram/Square Kilometer</t>
  </si>
  <si>
    <t>Pesticides</t>
  </si>
  <si>
    <t>popden[Year][AOI]</t>
  </si>
  <si>
    <t>popden2010</t>
  </si>
  <si>
    <t>Mean Population Density</t>
  </si>
  <si>
    <t>Mean populating density (people/square km) within AOI</t>
  </si>
  <si>
    <t>Number People / Square Kilometer</t>
  </si>
  <si>
    <t>precip[Year][AOI]</t>
  </si>
  <si>
    <t>precip2008</t>
  </si>
  <si>
    <t>2008, 2009</t>
  </si>
  <si>
    <t>Mean Precipitation</t>
  </si>
  <si>
    <t>PRISM climate data - 30-year normal mean precipitation (mm): Annual period: 2008 and 2009 within the AOI</t>
  </si>
  <si>
    <t>Millimeters</t>
  </si>
  <si>
    <t>PRISM</t>
  </si>
  <si>
    <t>Precip_Minus_EVT[AOI]</t>
  </si>
  <si>
    <t>Precip_Minus_EVT</t>
  </si>
  <si>
    <t>Y</t>
  </si>
  <si>
    <t>Surplus Precipitation</t>
  </si>
  <si>
    <t>This dataset represents surplus precipitation (mm): precipitation minus potential evaporation described in DOI: 10.1016/j.scitotenv.2020.137661 within individual,  local NHDPlusV2 catchments and upstream, contributing watersheds.</t>
  </si>
  <si>
    <t>precip8110[AOI]</t>
  </si>
  <si>
    <t>precip8110</t>
  </si>
  <si>
    <t>30-year Mean Annual Precipitation</t>
  </si>
  <si>
    <t>PRISM climate data - 30-year normal mean precipitation (mm): Annual period: 1981-2010 within AOI</t>
  </si>
  <si>
    <t>precip9120[AOI]</t>
  </si>
  <si>
    <t>precip9120</t>
  </si>
  <si>
    <t>1991-2020</t>
  </si>
  <si>
    <t>PRISM climate data - 30-year normal mean precipitation (mm): Annual period: 1991-2020 within the AOI</t>
  </si>
  <si>
    <t>prg_bmmi0809</t>
  </si>
  <si>
    <t>NRSA BMMI Good Biological Condition</t>
  </si>
  <si>
    <t>Predicted probability that a stream segment is in good biological condition based on a random forest model of the NRSA benthic invertebrate multimetric index (BMMI)</t>
  </si>
  <si>
    <t>Hill et al. 2017</t>
  </si>
  <si>
    <t>NRSA Predicted Bio Condition</t>
  </si>
  <si>
    <t>Rckdep[AOI]</t>
  </si>
  <si>
    <t>Rckdep</t>
  </si>
  <si>
    <t>only one pulling</t>
  </si>
  <si>
    <t>Mean Bedrock Depth</t>
  </si>
  <si>
    <t>Mean depth (cm) to bedrock of soils (STATSGO) within AOI</t>
  </si>
  <si>
    <t>Centimeters</t>
  </si>
  <si>
    <t>STATSGO_Set2</t>
  </si>
  <si>
    <t>rckdep[AOI]</t>
  </si>
  <si>
    <t>rckdep</t>
  </si>
  <si>
    <t>Mean depth (cm) to bedrock of soils (STATSGO) within AOI.</t>
  </si>
  <si>
    <t>Roads</t>
  </si>
  <si>
    <t>rdcrs[AOI]</t>
  </si>
  <si>
    <t>rdcrs</t>
  </si>
  <si>
    <t>Road and Stream Intersection Density</t>
  </si>
  <si>
    <t>Density of roads-stream intersections (2010 Census Tiger Lines-NHD stream lines) within AOI (crossings/square km)</t>
  </si>
  <si>
    <t>Carlisle et al. 2019</t>
  </si>
  <si>
    <t>Road Stream Crossings</t>
  </si>
  <si>
    <t>rdcrsslpwtd[AOI]</t>
  </si>
  <si>
    <t>rdcrsslpwtd</t>
  </si>
  <si>
    <t>Road and Stream Intersection x NHD Slope</t>
  </si>
  <si>
    <t>Density of roads-stream intersections (2010 Census Tiger Lines-NHD stream lines) multiplied by NHDPlusV21 slope within AOI (crossings*slope/square km)</t>
  </si>
  <si>
    <t>Weighted Count/Square Kilometer</t>
  </si>
  <si>
    <t>rddens[Year][AOI]</t>
  </si>
  <si>
    <t>rddens</t>
  </si>
  <si>
    <t>Mean Road Density</t>
  </si>
  <si>
    <t>Density of roads (2010 Census Tiger Lines) within AOI (km/square km)</t>
  </si>
  <si>
    <t>Road Density</t>
  </si>
  <si>
    <t>rockn[AOI]</t>
  </si>
  <si>
    <t>rockn</t>
  </si>
  <si>
    <t>Nitrogen From Rock Weathering</t>
  </si>
  <si>
    <t>N from rock weathering (kg/ km2) within AOI</t>
  </si>
  <si>
    <t>Rock Weathering Nitrogen</t>
  </si>
  <si>
    <t>runoff[AOI]</t>
  </si>
  <si>
    <t>runoff</t>
  </si>
  <si>
    <t>Mean Runoff</t>
  </si>
  <si>
    <t>Mean runoff (mm) within AOI</t>
  </si>
  <si>
    <t>McCabe GJ &amp; Wolock DM (2011)</t>
  </si>
  <si>
    <t>Runoff</t>
  </si>
  <si>
    <t>s[AOI]</t>
  </si>
  <si>
    <t>s</t>
  </si>
  <si>
    <t>Mean Lithological Sulfur</t>
  </si>
  <si>
    <t>Mean % of lithological sulfur (S) content in surface or near surface geology within AOI</t>
  </si>
  <si>
    <t>sand[AOI]</t>
  </si>
  <si>
    <t>sand</t>
  </si>
  <si>
    <t>Mean Sand Content</t>
  </si>
  <si>
    <t>Mean % sand content of soils (STATSGO) within AOI</t>
  </si>
  <si>
    <t>sed[AOI]</t>
  </si>
  <si>
    <t>sed</t>
  </si>
  <si>
    <t>SED</t>
  </si>
  <si>
    <t>Sediment regulation component score calculated using AOI metrics</t>
  </si>
  <si>
    <t>septic[AOI]</t>
  </si>
  <si>
    <t>septic</t>
  </si>
  <si>
    <t>Septic System Density</t>
  </si>
  <si>
    <t>Density of septic systems per AOI - based on 1990 Census</t>
  </si>
  <si>
    <t>Septic</t>
  </si>
  <si>
    <t>sio2[AOI]</t>
  </si>
  <si>
    <t>sio2</t>
  </si>
  <si>
    <t>Mean Lithological Silicon Dioxide</t>
  </si>
  <si>
    <t>Mean % of lithological silicon dioxide (SiO2) content in surface or near surface geology within AOI</t>
  </si>
  <si>
    <t>sn[Year][AOI]</t>
  </si>
  <si>
    <t>sn2008</t>
  </si>
  <si>
    <t>Annual Mean Sulfur and Nitrogen Wet Deposition</t>
  </si>
  <si>
    <t>Annual gradient map of precipitation-weighted mean deposition for average sulfur &amp; nitrogen wet deposition for 2008 in kg of S+N/ha/yr, within AOI</t>
  </si>
  <si>
    <t>superfunddens[AOI]</t>
  </si>
  <si>
    <t>superfunddens</t>
  </si>
  <si>
    <t>Superfund Site Density</t>
  </si>
  <si>
    <t>Density of Superfund sites within AOI (sites/square km)</t>
  </si>
  <si>
    <t>sw_flux[AOI]</t>
  </si>
  <si>
    <t>sw_flux</t>
  </si>
  <si>
    <t>Surface Water Nitrogen Flux</t>
  </si>
  <si>
    <t>Estimated surface water TN flux (kg N / km2) within AOI</t>
  </si>
  <si>
    <t>temp[AOI]</t>
  </si>
  <si>
    <t>temp</t>
  </si>
  <si>
    <t>TEMP</t>
  </si>
  <si>
    <t>Temperature regulation component score calculated using AOI metrics</t>
  </si>
  <si>
    <t>thalwagdepth</t>
  </si>
  <si>
    <t>Predicted Thalweg Depth</t>
  </si>
  <si>
    <t>Predicted thalweg depth: deepest point in the channel cross section from the bottom substrate to the water surface</t>
  </si>
  <si>
    <t>Predicted Channel Widths and Depths</t>
  </si>
  <si>
    <t>tmax8110[AOI]</t>
  </si>
  <si>
    <t>tmax8110</t>
  </si>
  <si>
    <t>1981-2010</t>
  </si>
  <si>
    <t>30-year Average Annual Normal Maximum Air Temperature</t>
  </si>
  <si>
    <t>PRISM climate data - 30-year normal maximum temperature (CÂ°): Annual period: 1981-2010 within the AOI</t>
  </si>
  <si>
    <t>tmax9120[AOI]</t>
  </si>
  <si>
    <t>tmax9120</t>
  </si>
  <si>
    <t>PRISM climate data - 30-year normal maximum temperature (CÂ°): Annual period: 1991-2020 within the AOI</t>
  </si>
  <si>
    <t>tmean[Year][AOI]</t>
  </si>
  <si>
    <t>tmean2008</t>
  </si>
  <si>
    <t>Mean Air Temperature</t>
  </si>
  <si>
    <t>PRISM climate data - Mean temperature (°C) within the AOI. Period: 2008 and 2009</t>
  </si>
  <si>
    <t>tmean8110[AOI]</t>
  </si>
  <si>
    <t>tmean8110</t>
  </si>
  <si>
    <t>30-year Mean Annual Air Temperature</t>
  </si>
  <si>
    <t>PRISM climate data - 30-year normal mean temperature (CÂ°): Annual period: 1981-2010 within the AOI</t>
  </si>
  <si>
    <t>tmean9120[AOI]</t>
  </si>
  <si>
    <t>tmean9120</t>
  </si>
  <si>
    <t>PRISM climate data - 30-year normal mean temperature (CÂ°): Annual period: 1991-2020 within the AOI</t>
  </si>
  <si>
    <t>tmin8110[AOI]</t>
  </si>
  <si>
    <t>tmin8110</t>
  </si>
  <si>
    <t>30-year Average Annual Normal Minimum Air Temperature</t>
  </si>
  <si>
    <t>PRISM climate data - 30-year normal minimum temperature (CÂ°): Annual period: 1981-2010 within the AOI</t>
  </si>
  <si>
    <t>tmin9120[AOI]</t>
  </si>
  <si>
    <t>tmin9120</t>
  </si>
  <si>
    <t>PRISM climate data - 30-year normal minimum temperature (CÂ°): Annual period: 1991-2020 within the AOI</t>
  </si>
  <si>
    <t>tridens[AOI]</t>
  </si>
  <si>
    <t>tridens</t>
  </si>
  <si>
    <t>Toxic Release Inventory Site</t>
  </si>
  <si>
    <t>Density of TRI (Toxic Release Inventory) sites within AOI (sites/square km)</t>
  </si>
  <si>
    <t>waterinput[AOI]</t>
  </si>
  <si>
    <t>waterinput</t>
  </si>
  <si>
    <t>Water Input</t>
  </si>
  <si>
    <t>Water Input (km2/cm): Ratio of the total area of irrigated land to precipitation within AOI</t>
  </si>
  <si>
    <t>Square Kilometers/Centimeter</t>
  </si>
  <si>
    <t>wdrw_LD[AOI]</t>
  </si>
  <si>
    <t>wdrw_LD</t>
  </si>
  <si>
    <t>Agricultural Fresh Surface-Water Withdraw</t>
  </si>
  <si>
    <t>Total fresh surface-water withdrawals in agricultural land per AOI area (L/day)</t>
  </si>
  <si>
    <t>wetindex[AOI]</t>
  </si>
  <si>
    <t>wetindex</t>
  </si>
  <si>
    <t>Wetness Index</t>
  </si>
  <si>
    <t>Mean Composite Topographic Index (CTI)[Wetness Index] within AOI</t>
  </si>
  <si>
    <t>WetIndex</t>
  </si>
  <si>
    <t>wettedwidth</t>
  </si>
  <si>
    <t>Predicted Wetted Width</t>
  </si>
  <si>
    <t>Predicted wetted width: distance of the waters edge from left to right bank</t>
  </si>
  <si>
    <t>wsareasqkm[AOI]</t>
  </si>
  <si>
    <t>wsareasqkm</t>
  </si>
  <si>
    <t>Watershed area (square km) at NHDPlus stream segment outlet, i.e., at the most downstream location of the vector line segment</t>
  </si>
  <si>
    <t>wsareasqkmrp100[AOI]</t>
  </si>
  <si>
    <t>wsareasqkmrp1002001</t>
  </si>
  <si>
    <t>Ws, WsRp100</t>
  </si>
  <si>
    <t>Watershed Area Square Kilometers Riparian 100 Meters</t>
  </si>
  <si>
    <t>Watershed area (square km) within a 100-m buffer of NHD streams. Original NLCD 2006 water cells adjacent to NHD stream lines used to expand NHD stream lines to full water area</t>
  </si>
  <si>
    <t>Johnson s.  b. 2019</t>
  </si>
  <si>
    <t>wtdep[AOI]</t>
  </si>
  <si>
    <t>wtdep</t>
  </si>
  <si>
    <t>Mean Water Table Depth</t>
  </si>
  <si>
    <t>Mean seasonal water table depth (cm) of soils (STATSGO) within AOI</t>
  </si>
  <si>
    <t>wwtpalldens[AOI]</t>
  </si>
  <si>
    <t>wwtpalldens</t>
  </si>
  <si>
    <t>All Wastewater Treatment Density</t>
  </si>
  <si>
    <t>Density (number/ km2) of all wastewater treatment plants per AOI</t>
  </si>
  <si>
    <t>Count/Kilometer</t>
  </si>
  <si>
    <t>Waste Water Treatment Plant (WWTP)</t>
  </si>
  <si>
    <t>wwtpmajordens[AOI]</t>
  </si>
  <si>
    <t>wwtpmajordens</t>
  </si>
  <si>
    <t>Major Wastewater Treatment Density</t>
  </si>
  <si>
    <t>Density (number/ km2) of major wastewater treatment plants per AOI</t>
  </si>
  <si>
    <t>wwtpminordens[AOI]</t>
  </si>
  <si>
    <t>wwtpminordens</t>
  </si>
  <si>
    <t>Minor Wastewater Treatment Density</t>
  </si>
  <si>
    <t>Density (number/ km2) of minor wastewater treatment plants per AOI</t>
  </si>
  <si>
    <t>rowname minus ws</t>
  </si>
  <si>
    <t>Name</t>
  </si>
  <si>
    <t>Description</t>
  </si>
  <si>
    <t>Metric description</t>
  </si>
  <si>
    <t>PCT_EROD</t>
  </si>
  <si>
    <t>PCTNONCARBRESIDWS</t>
  </si>
  <si>
    <t>PCTSILICICWS</t>
  </si>
  <si>
    <t>PRECIP_MINUS_EVTWS</t>
  </si>
  <si>
    <t>THALWEGDEPTH</t>
  </si>
  <si>
    <t>"AGKFFACTWS","AL2O3WS","BANKFULLDEPTH","BANKFULLWIDTH","BFIWS","CAOWS","CBNFWS","CLAYWS","CONNWS","DAMDENSWS","DAMNIDSTORWS","DAMNRMSTORWS","ELEVWS","FE2O3WS","FERTWS","HABTWS","HUDEN2010WS","ICI","INORGNWETDEP2008WS","IWI","K2OWS","MANUREWS","MAST2008","MGOWS","MWST2008","NA2OWS","NABD_DENSWS","NABD_NIDSTORWS","NABD_NRMSTORWS","NANIWS","NH42008WS","NO32008WS","NSURPWS","P2O5WS","PCT_EROD","PCTAGSLPHIGH2001WS","PCTAGSLPMID2001WS","PCTBURNAREA2002WS","PCTDECID2001WS","PCTFIRE2002WS","PCTHAY2001WS","PCTHIGHSEV2002WS","PCTIMP2001WS","PCTIMPSLPHIGH2001WS","PCTIMPSLPMID2001WS","PCTLOWSEV2002WS","PCTMODSEV2002WS","PCTMXFST2001WS","PCTNONCARBRESIDWS","PCTSILICICWS","PCTUNDSEV2002WS","PCTURBLO2001WS","PCTURBMD2001WS","PERMWS","POPDEN2010WS","PRECIP_MINUS_EVTWS","PRECIP2008WS","PRECIP8110WS","PRECIP9120WS","RUNOFFWS","SANDWS","SEDWS","SIO2WS","SN2008WS","SW_FLUXWS","TEMPWS","THALWEGDEPTH","TMAX8110WS","TMAX9120WS","TMEAN2008WS","TMEAN8110WS","TMEAN9120WS","TMIN8110WS","TMIN9120WS","WATERINPUTWS","WDRW_LDWS","WETTEDWIDTH","WWTPALLDENSWS","WWTPMINORDENSWS"</t>
  </si>
  <si>
    <t>AGKFFACTWS, AL2O3WS, BANKFULLDEPTH, BANKFULLWIDTH, BFIWS, CAOWS, CBNFWS, CLAYWS, CONNWS, DAMDENSWS, DAMNIDSTORWS, DAMNRMSTORWS, ELEVWS, FE2O3WS, FERTWS, HABTWS, HUDEN2010WS, ICI, INORGNWETDEP2008WS, IWI, K2OWS, MANUREWS, MAST2008, MGOWS, MWST2008, NA2OWS, NABD_DENSWS, NABD_NIDSTORWS, NABD_NRMSTORWS, NANIWS, NH42008WS, NO32008WS, NSURPWS, P2O5WS, PCT_EROD, PCTAGSLPHIGH2001WS, PCTAGSLPMID2001WS, PCTBURNAREA2002WS, PCTDECID2001WS, PCTFIRE2002WS, PCTHAY2001WS, PCTHIGHSEV2002WS, PCTIMP2001WS, PCTIMPSLPHIGH2001WS, PCTIMPSLPMID2001WS, PCTLOWSEV2002WS, PCTMODSEV2002WS, PCTMXFST2001WS, PCTNONCARBRESIDWS, PCTSILICICWS, PCTUNDSEV2002WS, PCTURBLO2001WS, PCTURBMD2001WS, PERMWS, POPDEN2010WS, PRECIP_MINUS_EVTWS, PRECIP2008WS, PRECIP8110WS, PRECIP9120WS, RUNOFFWS, SANDWS, SEDWS, SIO2WS, SN2008WS, SW_FLUXWS, TEMPWS, THALWEGDEPTH, TMAX8110WS, TMAX9120WS, TMEAN2008WS, TMEAN8110WS, TMEAN9120WS, TMIN8110WS, TMIN9120WS, WATERINPUTWS, WDRW_LDWS, WETTEDWIDTH, WWTPALLDENSWS, 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</si>
</sst>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4" fillId="3" borderId="0" xfId="0" applyFont="1" applyFill="1"/>
    <xf numFmtId="0" fontId="4" fillId="5" borderId="0" xfId="0" applyFont="1" applyFill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/>
    </xf>
    <xf numFmtId="0" fontId="0" fillId="6" borderId="5" xfId="0" applyFill="1" applyBorder="1"/>
    <xf numFmtId="0" fontId="0" fillId="7" borderId="5" xfId="0" applyFill="1" applyBorder="1"/>
    <xf numFmtId="0" fontId="0" fillId="6" borderId="6" xfId="0" applyFill="1" applyBorder="1"/>
    <xf numFmtId="0" fontId="0" fillId="7" borderId="6" xfId="0" applyFill="1" applyBorder="1"/>
    <xf numFmtId="0" fontId="0" fillId="0" borderId="6" xfId="0" applyBorder="1"/>
    <xf numFmtId="0" fontId="0" fillId="0" borderId="5" xfId="0" applyBorder="1"/>
    <xf numFmtId="0" fontId="0" fillId="6" borderId="7" xfId="0" applyFill="1" applyBorder="1"/>
    <xf numFmtId="0" fontId="0" fillId="7" borderId="7" xfId="0" applyFill="1" applyBorder="1"/>
    <xf numFmtId="0" fontId="0" fillId="0" borderId="7" xfId="0" applyBorder="1"/>
    <xf numFmtId="0" fontId="0" fillId="0" borderId="0" xfId="0" applyFill="1" applyBorder="1"/>
    <xf numFmtId="0" fontId="3" fillId="6" borderId="5" xfId="0" applyFont="1" applyFill="1" applyBorder="1"/>
    <xf numFmtId="0" fontId="3" fillId="7" borderId="5" xfId="0" applyFont="1" applyFill="1" applyBorder="1"/>
    <xf numFmtId="0" fontId="0" fillId="0" borderId="5" xfId="0" applyFill="1" applyBorder="1"/>
    <xf numFmtId="0" fontId="0" fillId="0" borderId="4" xfId="0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1" xfId="0" applyFont="1" applyFill="1" applyBorder="1"/>
    <xf numFmtId="0" fontId="0" fillId="0" borderId="7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3" fillId="7" borderId="1" xfId="0" applyFont="1" applyFill="1" applyBorder="1"/>
    <xf numFmtId="0" fontId="0" fillId="0" borderId="1" xfId="0" applyFill="1" applyBorder="1"/>
    <xf numFmtId="0" fontId="7" fillId="6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7" borderId="6" xfId="0" applyFont="1" applyFill="1" applyBorder="1"/>
    <xf numFmtId="0" fontId="3" fillId="7" borderId="7" xfId="0" applyFont="1" applyFill="1" applyBorder="1"/>
    <xf numFmtId="0" fontId="3" fillId="0" borderId="5" xfId="0" applyFont="1" applyFill="1" applyBorder="1"/>
    <xf numFmtId="0" fontId="0" fillId="7" borderId="6" xfId="0" applyFont="1" applyFill="1" applyBorder="1"/>
    <xf numFmtId="0" fontId="0" fillId="7" borderId="5" xfId="0" applyFont="1" applyFill="1" applyBorder="1"/>
    <xf numFmtId="0" fontId="0" fillId="7" borderId="7" xfId="0" applyFont="1" applyFill="1" applyBorder="1"/>
    <xf numFmtId="0" fontId="0" fillId="7" borderId="1" xfId="0" applyFont="1" applyFill="1" applyBorder="1"/>
    <xf numFmtId="0" fontId="0" fillId="0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ZINS Sabine * DEQ" id="{2A67E032-0B39-4CCC-B8E7-7AA38604D08C}" userId="S::Sabine.Berzins@deq.oregon.gov::7a58e765-b862-4bdc-bdf4-73d17f7c805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13" dT="2025-10-31T17:51:37.08" personId="{2A67E032-0B39-4CCC-B8E7-7AA38604D08C}" id="{3AE0B949-BAE8-4B1D-BD8B-9FEF0542D717}">
    <text>Sus description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7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20.21875" style="54" customWidth="1"/>
    <col min="2" max="2" width="21.88671875" style="35" hidden="1" customWidth="1"/>
    <col min="3" max="3" width="42.77734375" style="35" hidden="1" customWidth="1"/>
    <col min="4" max="5" width="13" style="35" hidden="1" customWidth="1"/>
    <col min="6" max="6" width="19" style="35" hidden="1" customWidth="1"/>
    <col min="7" max="7" width="40.6640625" style="54" customWidth="1"/>
    <col min="8" max="8" width="11.77734375" style="35" customWidth="1"/>
    <col min="9" max="9" width="11.6640625" style="35" customWidth="1"/>
    <col min="10" max="10" width="21.6640625" style="35" customWidth="1"/>
    <col min="11" max="11" width="15.88671875" style="59" customWidth="1"/>
    <col min="12" max="12" width="19.109375" style="35" hidden="1" customWidth="1"/>
    <col min="13" max="13" width="50.109375" style="35" hidden="1" customWidth="1"/>
    <col min="14" max="14" width="5.5546875" style="35" hidden="1" customWidth="1"/>
    <col min="15" max="15" width="8.109375" style="35" hidden="1" customWidth="1"/>
    <col min="16" max="16" width="36.109375" style="54" customWidth="1"/>
    <col min="17" max="17" width="9.21875" style="35" customWidth="1"/>
    <col min="18" max="18" width="15.21875" style="35" customWidth="1"/>
    <col min="19" max="19" width="12.6640625" style="35" bestFit="1" customWidth="1"/>
    <col min="20" max="16384" width="8.88671875" style="32"/>
  </cols>
  <sheetData>
    <row r="1" spans="1:19" s="22" customFormat="1" x14ac:dyDescent="0.3">
      <c r="A1" s="47" t="s">
        <v>0</v>
      </c>
      <c r="B1" s="48" t="s">
        <v>755</v>
      </c>
      <c r="C1" s="48" t="s">
        <v>756</v>
      </c>
      <c r="D1" s="48" t="s">
        <v>78</v>
      </c>
      <c r="E1" s="48" t="s">
        <v>80</v>
      </c>
      <c r="F1" s="48" t="s">
        <v>758</v>
      </c>
      <c r="G1" s="47" t="s">
        <v>756</v>
      </c>
      <c r="H1" s="48" t="s">
        <v>78</v>
      </c>
      <c r="I1" s="48" t="s">
        <v>80</v>
      </c>
      <c r="J1" s="48" t="s">
        <v>758</v>
      </c>
      <c r="K1" s="49" t="s">
        <v>1</v>
      </c>
      <c r="L1" s="49"/>
      <c r="M1" s="49" t="s">
        <v>756</v>
      </c>
      <c r="N1" s="49" t="s">
        <v>78</v>
      </c>
      <c r="O1" s="49" t="s">
        <v>757</v>
      </c>
      <c r="P1" s="50" t="s">
        <v>756</v>
      </c>
      <c r="Q1" s="49" t="s">
        <v>78</v>
      </c>
      <c r="R1" s="49" t="s">
        <v>757</v>
      </c>
      <c r="S1" s="51" t="s">
        <v>2</v>
      </c>
    </row>
    <row r="2" spans="1:19" s="19" customFormat="1" x14ac:dyDescent="0.3">
      <c r="A2" s="37" t="s">
        <v>10</v>
      </c>
      <c r="B2" s="25" t="str">
        <f>IF(RIGHT(A2,2)="WS", LEFT(A2,LEN(A2)-2),A2)</f>
        <v>AGKFFACT</v>
      </c>
      <c r="C2" s="25" t="str">
        <f>INDEX(Active!J:J, MATCH(Spearmans2!B2, Active!F:F,0),1)</f>
        <v>Ag Soil Erodibility Kf Factor</v>
      </c>
      <c r="D2" s="25" t="str">
        <f>INDEX(Active!B:B, MATCH(Spearmans2!B2, Active!F:F,0),1)</f>
        <v>Anthropogenic</v>
      </c>
      <c r="E2" s="25" t="str">
        <f>INDEX(Active!D:D, MATCH(Spearmans2!B2, Active!F:F,0),1)</f>
        <v>Agriculture</v>
      </c>
      <c r="F2" s="25" t="str">
        <f>INDEX(Active!K:K, MATCH(Spearmans2!B2,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2" s="37" t="s">
        <v>98</v>
      </c>
      <c r="H2" s="25" t="s">
        <v>92</v>
      </c>
      <c r="I2" s="25" t="s">
        <v>94</v>
      </c>
      <c r="J2" s="25" t="s">
        <v>99</v>
      </c>
      <c r="K2" s="55" t="s">
        <v>12</v>
      </c>
      <c r="L2" s="26" t="str">
        <f>IF(RIGHT(K2,2)="WS", LEFT(K2,LEN(K2)-2),K2)</f>
        <v>MANURE</v>
      </c>
      <c r="M2" s="26" t="str">
        <f>INDEX(Active!J:J, MATCH(Spearmans2!L2, Active!F:F,0),1)</f>
        <v>Mean Manure Application Rate</v>
      </c>
      <c r="N2" s="26" t="str">
        <f>INDEX(Active!B:B, MATCH(Spearmans2!L2, Active!F:F,0),1)</f>
        <v>Anthropogenic</v>
      </c>
      <c r="O2" s="26" t="str">
        <f>INDEX(Active!K:K, MATCH(Spearmans2!L2, Active!F:F,0),1)</f>
        <v>Mean rate of manure application to agricultural land from confined animal feeding operations in kg N/ha/yr, within AOI</v>
      </c>
      <c r="P2" s="52" t="s">
        <v>276</v>
      </c>
      <c r="Q2" s="26" t="s">
        <v>92</v>
      </c>
      <c r="R2" s="26" t="s">
        <v>277</v>
      </c>
      <c r="S2" s="27">
        <v>0.85980818206666132</v>
      </c>
    </row>
    <row r="3" spans="1:19" s="20" customFormat="1" x14ac:dyDescent="0.3">
      <c r="A3" s="33" t="s">
        <v>10</v>
      </c>
      <c r="B3" s="23" t="str">
        <f>IF(RIGHT(A3,2)="WS", LEFT(A3,LEN(A3)-2),A3)</f>
        <v>AGKFFACT</v>
      </c>
      <c r="C3" s="23" t="str">
        <f>INDEX(Active!J:J, MATCH(Spearmans2!B3, Active!F:F,0),1)</f>
        <v>Ag Soil Erodibility Kf Factor</v>
      </c>
      <c r="D3" s="23" t="str">
        <f>INDEX(Active!B:B, MATCH(Spearmans2!B3, Active!F:F,0),1)</f>
        <v>Anthropogenic</v>
      </c>
      <c r="E3" s="23" t="str">
        <f>INDEX(Active!D:D, MATCH(Spearmans2!B3, Active!F:F,0),1)</f>
        <v>Agriculture</v>
      </c>
      <c r="F3" s="23" t="str">
        <f>INDEX(Active!K:K, MATCH(Spearmans2!B3,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3" s="33" t="s">
        <v>98</v>
      </c>
      <c r="H3" s="23" t="s">
        <v>92</v>
      </c>
      <c r="I3" s="23" t="s">
        <v>94</v>
      </c>
      <c r="J3" s="23" t="s">
        <v>99</v>
      </c>
      <c r="K3" s="56" t="s">
        <v>9</v>
      </c>
      <c r="L3" s="24" t="str">
        <f>IF(RIGHT(K3,2)="WS", LEFT(K3,LEN(K3)-2),K3)</f>
        <v>WATERINPUT</v>
      </c>
      <c r="M3" s="24" t="str">
        <f>INDEX(Active!J:J, MATCH(Spearmans2!L3, Active!F:F,0),1)</f>
        <v>Water Input</v>
      </c>
      <c r="N3" s="24" t="str">
        <f>INDEX(Active!B:B, MATCH(Spearmans2!L3, Active!F:F,0),1)</f>
        <v>Anthropogenic</v>
      </c>
      <c r="O3" s="24" t="str">
        <f>INDEX(Active!K:K, MATCH(Spearmans2!L3, Active!F:F,0),1)</f>
        <v>Water Input (km2/cm): Ratio of the total area of irrigated land to precipitation within AOI</v>
      </c>
      <c r="P3" s="34" t="s">
        <v>713</v>
      </c>
      <c r="Q3" s="24" t="s">
        <v>92</v>
      </c>
      <c r="R3" s="24" t="s">
        <v>714</v>
      </c>
      <c r="S3" s="28">
        <v>0.92901414266671711</v>
      </c>
    </row>
    <row r="4" spans="1:19" s="20" customFormat="1" x14ac:dyDescent="0.3">
      <c r="A4" s="33" t="s">
        <v>10</v>
      </c>
      <c r="B4" s="23" t="str">
        <f>IF(RIGHT(A4,2)="WS", LEFT(A4,LEN(A4)-2),A4)</f>
        <v>AGKFFACT</v>
      </c>
      <c r="C4" s="23" t="str">
        <f>INDEX(Active!J:J, MATCH(Spearmans2!B4, Active!F:F,0),1)</f>
        <v>Ag Soil Erodibility Kf Factor</v>
      </c>
      <c r="D4" s="23" t="str">
        <f>INDEX(Active!B:B, MATCH(Spearmans2!B4, Active!F:F,0),1)</f>
        <v>Anthropogenic</v>
      </c>
      <c r="E4" s="23" t="str">
        <f>INDEX(Active!D:D, MATCH(Spearmans2!B4, Active!F:F,0),1)</f>
        <v>Agriculture</v>
      </c>
      <c r="F4" s="23" t="str">
        <f>INDEX(Active!K:K, MATCH(Spearmans2!B4,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4" s="33" t="s">
        <v>98</v>
      </c>
      <c r="H4" s="23" t="s">
        <v>92</v>
      </c>
      <c r="I4" s="23" t="s">
        <v>94</v>
      </c>
      <c r="J4" s="23" t="s">
        <v>99</v>
      </c>
      <c r="K4" s="56" t="s">
        <v>8</v>
      </c>
      <c r="L4" s="24" t="str">
        <f>IF(RIGHT(K4,2)="WS", LEFT(K4,LEN(K4)-2),K4)</f>
        <v>WDRW_LD</v>
      </c>
      <c r="M4" s="24" t="str">
        <f>INDEX(Active!J:J, MATCH(Spearmans2!L4, Active!F:F,0),1)</f>
        <v>Agricultural Fresh Surface-Water Withdraw</v>
      </c>
      <c r="N4" s="24" t="str">
        <f>INDEX(Active!B:B, MATCH(Spearmans2!L4, Active!F:F,0),1)</f>
        <v>Anthropogenic</v>
      </c>
      <c r="O4" s="24" t="str">
        <f>INDEX(Active!K:K, MATCH(Spearmans2!L4, Active!F:F,0),1)</f>
        <v>Total fresh surface-water withdrawals in agricultural land per AOI area (L/day)</v>
      </c>
      <c r="P4" s="34" t="s">
        <v>718</v>
      </c>
      <c r="Q4" s="24" t="s">
        <v>92</v>
      </c>
      <c r="R4" s="24" t="s">
        <v>719</v>
      </c>
      <c r="S4" s="28">
        <v>0.95018592319070538</v>
      </c>
    </row>
    <row r="5" spans="1:19" s="20" customFormat="1" x14ac:dyDescent="0.3">
      <c r="A5" s="33" t="s">
        <v>10</v>
      </c>
      <c r="B5" s="23" t="str">
        <f>IF(RIGHT(A5,2)="WS", LEFT(A5,LEN(A5)-2),A5)</f>
        <v>AGKFFACT</v>
      </c>
      <c r="C5" s="23" t="str">
        <f>INDEX(Active!J:J, MATCH(Spearmans2!B5, Active!F:F,0),1)</f>
        <v>Ag Soil Erodibility Kf Factor</v>
      </c>
      <c r="D5" s="23" t="str">
        <f>INDEX(Active!B:B, MATCH(Spearmans2!B5, Active!F:F,0),1)</f>
        <v>Anthropogenic</v>
      </c>
      <c r="E5" s="23" t="str">
        <f>INDEX(Active!D:D, MATCH(Spearmans2!B5, Active!F:F,0),1)</f>
        <v>Agriculture</v>
      </c>
      <c r="F5" s="23" t="str">
        <f>INDEX(Active!K:K, MATCH(Spearmans2!B5,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5" s="33" t="s">
        <v>98</v>
      </c>
      <c r="H5" s="23" t="s">
        <v>92</v>
      </c>
      <c r="I5" s="23" t="s">
        <v>94</v>
      </c>
      <c r="J5" s="23" t="s">
        <v>99</v>
      </c>
      <c r="K5" s="56" t="s">
        <v>11</v>
      </c>
      <c r="L5" s="24" t="str">
        <f>IF(RIGHT(K5,2)="WS", LEFT(K5,LEN(K5)-2),K5)</f>
        <v>CBNF</v>
      </c>
      <c r="M5" s="24" t="str">
        <f>INDEX(Active!J:J, MATCH(Spearmans2!L5, Active!F:F,0),1)</f>
        <v>Cultivated Biological Nitrogen Fixation Mean Rate</v>
      </c>
      <c r="N5" s="24" t="str">
        <f>INDEX(Active!B:B, MATCH(Spearmans2!L5, Active!F:F,0),1)</f>
        <v>Anthropogenic</v>
      </c>
      <c r="O5" s="24" t="str">
        <f>INDEX(Active!K:K, MATCH(Spearmans2!L5, Active!F:F,0),1)</f>
        <v>Mean rate of biological nitrogen fixation from the cultivation of crops in kg N/ha/yr, within AOI</v>
      </c>
      <c r="P5" s="34" t="s">
        <v>168</v>
      </c>
      <c r="Q5" s="24" t="s">
        <v>92</v>
      </c>
      <c r="R5" s="24" t="s">
        <v>169</v>
      </c>
      <c r="S5" s="28">
        <v>0.98132303117896547</v>
      </c>
    </row>
    <row r="6" spans="1:19" s="21" customFormat="1" x14ac:dyDescent="0.3">
      <c r="A6" s="38" t="s">
        <v>10</v>
      </c>
      <c r="B6" s="29" t="str">
        <f>IF(RIGHT(A6,2)="WS", LEFT(A6,LEN(A6)-2),A6)</f>
        <v>AGKFFACT</v>
      </c>
      <c r="C6" s="29" t="str">
        <f>INDEX(Active!J:J, MATCH(Spearmans2!B6, Active!F:F,0),1)</f>
        <v>Ag Soil Erodibility Kf Factor</v>
      </c>
      <c r="D6" s="29" t="str">
        <f>INDEX(Active!B:B, MATCH(Spearmans2!B6, Active!F:F,0),1)</f>
        <v>Anthropogenic</v>
      </c>
      <c r="E6" s="29" t="str">
        <f>INDEX(Active!D:D, MATCH(Spearmans2!B6, Active!F:F,0),1)</f>
        <v>Agriculture</v>
      </c>
      <c r="F6" s="29" t="str">
        <f>INDEX(Active!K:K, MATCH(Spearmans2!B6,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6" s="38" t="s">
        <v>98</v>
      </c>
      <c r="H6" s="29" t="s">
        <v>92</v>
      </c>
      <c r="I6" s="29" t="s">
        <v>94</v>
      </c>
      <c r="J6" s="29" t="s">
        <v>99</v>
      </c>
      <c r="K6" s="57" t="s">
        <v>13</v>
      </c>
      <c r="L6" s="30" t="str">
        <f>IF(RIGHT(K6,2)="WS", LEFT(K6,LEN(K6)-2),K6)</f>
        <v>FERT</v>
      </c>
      <c r="M6" s="30" t="str">
        <f>INDEX(Active!J:J, MATCH(Spearmans2!L6, Active!F:F,0),1)</f>
        <v>Synthetic Nitrogen Fertilizer Application Mean Rate</v>
      </c>
      <c r="N6" s="30" t="str">
        <f>INDEX(Active!B:B, MATCH(Spearmans2!L6, Active!F:F,0),1)</f>
        <v>Anthropogenic</v>
      </c>
      <c r="O6" s="30" t="str">
        <f>INDEX(Active!K:K, MATCH(Spearmans2!L6, Active!F:F,0),1)</f>
        <v>Mean rate of synthetic nitrogen fertilizer application to agricultural land in kg N/ha/yr, within the AOI</v>
      </c>
      <c r="P6" s="53" t="s">
        <v>226</v>
      </c>
      <c r="Q6" s="30" t="s">
        <v>92</v>
      </c>
      <c r="R6" s="30" t="s">
        <v>227</v>
      </c>
      <c r="S6" s="31">
        <v>0.98849024884336067</v>
      </c>
    </row>
    <row r="7" spans="1:19" s="19" customFormat="1" x14ac:dyDescent="0.3">
      <c r="A7" s="37" t="s">
        <v>53</v>
      </c>
      <c r="B7" s="25" t="str">
        <f>IF(RIGHT(A7,2)="WS", LEFT(A7,LEN(A7)-2),A7)</f>
        <v>AL2O3</v>
      </c>
      <c r="C7" s="25" t="str">
        <f>INDEX(Active!J:J, MATCH(Spearmans2!B7, Active!F:F,0),1)</f>
        <v>Mean Lithological Aluminum Oxide</v>
      </c>
      <c r="D7" s="25" t="str">
        <f>INDEX(Active!B:B, MATCH(Spearmans2!B7, Active!F:F,0),1)</f>
        <v>Natural</v>
      </c>
      <c r="E7" s="25" t="str">
        <f>INDEX(Active!D:D, MATCH(Spearmans2!B7, Active!F:F,0),1)</f>
        <v>Lithology</v>
      </c>
      <c r="F7" s="25" t="str">
        <f>INDEX(Active!K:K, MATCH(Spearmans2!B7, Active!F:F,0),1)</f>
        <v>Mean % of lithological aluminum oxide (Al2O3) content in surface or near surface geology within AOI</v>
      </c>
      <c r="G7" s="37" t="s">
        <v>107</v>
      </c>
      <c r="H7" s="25" t="s">
        <v>103</v>
      </c>
      <c r="I7" s="25" t="s">
        <v>104</v>
      </c>
      <c r="J7" s="25" t="s">
        <v>108</v>
      </c>
      <c r="K7" s="55" t="s">
        <v>57</v>
      </c>
      <c r="L7" s="26" t="str">
        <f>IF(RIGHT(K7,2)="WS", LEFT(K7,LEN(K7)-2),K7)</f>
        <v>CAO</v>
      </c>
      <c r="M7" s="26" t="str">
        <f>INDEX(Active!J:J, MATCH(Spearmans2!L7, Active!F:F,0),1)</f>
        <v>Mean Lithological Calcium Oxide</v>
      </c>
      <c r="N7" s="26" t="str">
        <f>INDEX(Active!B:B, MATCH(Spearmans2!L7, Active!F:F,0),1)</f>
        <v>Natural</v>
      </c>
      <c r="O7" s="26" t="str">
        <f>INDEX(Active!K:K, MATCH(Spearmans2!L7, Active!F:F,0),1)</f>
        <v>Mean % of lithological calcium oxide (CaO) content in surface or near surface geology within AOI</v>
      </c>
      <c r="P7" s="52" t="s">
        <v>148</v>
      </c>
      <c r="Q7" s="26" t="s">
        <v>103</v>
      </c>
      <c r="R7" s="26" t="s">
        <v>149</v>
      </c>
      <c r="S7" s="27">
        <v>0.82627091551357235</v>
      </c>
    </row>
    <row r="8" spans="1:19" s="20" customFormat="1" x14ac:dyDescent="0.3">
      <c r="A8" s="33" t="s">
        <v>53</v>
      </c>
      <c r="B8" s="23" t="str">
        <f>IF(RIGHT(A8,2)="WS", LEFT(A8,LEN(A8)-2),A8)</f>
        <v>AL2O3</v>
      </c>
      <c r="C8" s="23" t="str">
        <f>INDEX(Active!J:J, MATCH(Spearmans2!B8, Active!F:F,0),1)</f>
        <v>Mean Lithological Aluminum Oxide</v>
      </c>
      <c r="D8" s="23" t="str">
        <f>INDEX(Active!B:B, MATCH(Spearmans2!B8, Active!F:F,0),1)</f>
        <v>Natural</v>
      </c>
      <c r="E8" s="23" t="str">
        <f>INDEX(Active!D:D, MATCH(Spearmans2!B8, Active!F:F,0),1)</f>
        <v>Lithology</v>
      </c>
      <c r="F8" s="23" t="str">
        <f>INDEX(Active!K:K, MATCH(Spearmans2!B8, Active!F:F,0),1)</f>
        <v>Mean % of lithological aluminum oxide (Al2O3) content in surface or near surface geology within AOI</v>
      </c>
      <c r="G8" s="33" t="s">
        <v>107</v>
      </c>
      <c r="H8" s="23" t="s">
        <v>103</v>
      </c>
      <c r="I8" s="23" t="s">
        <v>104</v>
      </c>
      <c r="J8" s="23" t="s">
        <v>108</v>
      </c>
      <c r="K8" s="56" t="s">
        <v>52</v>
      </c>
      <c r="L8" s="24" t="str">
        <f>IF(RIGHT(K8,2)="WS", LEFT(K8,LEN(K8)-2),K8)</f>
        <v>P2O5</v>
      </c>
      <c r="M8" s="24" t="str">
        <f>INDEX(Active!J:J, MATCH(Spearmans2!L8, Active!F:F,0),1)</f>
        <v>Mean Lithological Phosphorous Oxide</v>
      </c>
      <c r="N8" s="24" t="str">
        <f>INDEX(Active!B:B, MATCH(Spearmans2!L8, Active!F:F,0),1)</f>
        <v>Natural</v>
      </c>
      <c r="O8" s="24" t="str">
        <f>INDEX(Active!K:K, MATCH(Spearmans2!L8, Active!F:F,0),1)</f>
        <v>Mean % of lithological phosphorous oxide (P2O5) content in surface or near surface geology within AOI</v>
      </c>
      <c r="P8" s="34" t="s">
        <v>349</v>
      </c>
      <c r="Q8" s="24" t="s">
        <v>103</v>
      </c>
      <c r="R8" s="24" t="s">
        <v>350</v>
      </c>
      <c r="S8" s="28">
        <v>0.87560553786022133</v>
      </c>
    </row>
    <row r="9" spans="1:19" s="21" customFormat="1" x14ac:dyDescent="0.3">
      <c r="A9" s="38" t="s">
        <v>53</v>
      </c>
      <c r="B9" s="29" t="str">
        <f>IF(RIGHT(A9,2)="WS", LEFT(A9,LEN(A9)-2),A9)</f>
        <v>AL2O3</v>
      </c>
      <c r="C9" s="29" t="str">
        <f>INDEX(Active!J:J, MATCH(Spearmans2!B9, Active!F:F,0),1)</f>
        <v>Mean Lithological Aluminum Oxide</v>
      </c>
      <c r="D9" s="29" t="str">
        <f>INDEX(Active!B:B, MATCH(Spearmans2!B9, Active!F:F,0),1)</f>
        <v>Natural</v>
      </c>
      <c r="E9" s="29" t="str">
        <f>INDEX(Active!D:D, MATCH(Spearmans2!B9, Active!F:F,0),1)</f>
        <v>Lithology</v>
      </c>
      <c r="F9" s="29" t="str">
        <f>INDEX(Active!K:K, MATCH(Spearmans2!B9, Active!F:F,0),1)</f>
        <v>Mean % of lithological aluminum oxide (Al2O3) content in surface or near surface geology within AOI</v>
      </c>
      <c r="G9" s="38" t="s">
        <v>107</v>
      </c>
      <c r="H9" s="29" t="s">
        <v>103</v>
      </c>
      <c r="I9" s="29" t="s">
        <v>104</v>
      </c>
      <c r="J9" s="29" t="s">
        <v>108</v>
      </c>
      <c r="K9" s="57" t="s">
        <v>51</v>
      </c>
      <c r="L9" s="30" t="str">
        <f>IF(RIGHT(K9,2)="WS", LEFT(K9,LEN(K9)-2),K9)</f>
        <v>NA2O</v>
      </c>
      <c r="M9" s="30" t="str">
        <f>INDEX(Active!J:J, MATCH(Spearmans2!L9, Active!F:F,0),1)</f>
        <v>Mean Lithological Sodium Oxide</v>
      </c>
      <c r="N9" s="30" t="str">
        <f>INDEX(Active!B:B, MATCH(Spearmans2!L9, Active!F:F,0),1)</f>
        <v>Natural</v>
      </c>
      <c r="O9" s="30" t="str">
        <f>INDEX(Active!K:K, MATCH(Spearmans2!L9, Active!F:F,0),1)</f>
        <v>Mean % of lithological sodium oxide (Na2O) content in surface or near surface geology within AOI</v>
      </c>
      <c r="P9" s="53" t="s">
        <v>309</v>
      </c>
      <c r="Q9" s="30" t="s">
        <v>103</v>
      </c>
      <c r="R9" s="30" t="s">
        <v>310</v>
      </c>
      <c r="S9" s="31">
        <v>0.93978313028449711</v>
      </c>
    </row>
    <row r="10" spans="1:19" s="19" customFormat="1" x14ac:dyDescent="0.3">
      <c r="A10" s="37" t="s">
        <v>7</v>
      </c>
      <c r="B10" s="25" t="str">
        <f>IF(RIGHT(A10,2)="WS", LEFT(A10,LEN(A10)-2),A10)</f>
        <v>BANKFULLDEPTH</v>
      </c>
      <c r="C10" s="25" t="str">
        <f>INDEX(Active!J:J, MATCH(Spearmans2!B10, Active!F:F,0),1)</f>
        <v>Predicted Bankfull Depth</v>
      </c>
      <c r="D10" s="25" t="str">
        <f>INDEX(Active!B:B, MATCH(Spearmans2!B10, Active!F:F,0),1)</f>
        <v>Natural</v>
      </c>
      <c r="E10" s="25" t="str">
        <f>INDEX(Active!D:D, MATCH(Spearmans2!B10, Active!F:F,0),1)</f>
        <v>Other</v>
      </c>
      <c r="F10" s="25" t="str">
        <f>INDEX(Active!K:K, MATCH(Spearmans2!B10, Active!F:F,0),1)</f>
        <v>Predicted bankfull depth: thalweg depth plus bankfull height, which is the height from the water surface to the bankfull stage</v>
      </c>
      <c r="G10" s="37" t="s">
        <v>125</v>
      </c>
      <c r="H10" s="25" t="s">
        <v>103</v>
      </c>
      <c r="I10" s="25" t="s">
        <v>123</v>
      </c>
      <c r="J10" s="25" t="s">
        <v>126</v>
      </c>
      <c r="K10" s="55" t="s">
        <v>4</v>
      </c>
      <c r="L10" s="26" t="str">
        <f>IF(RIGHT(K10,2)="WS", LEFT(K10,LEN(K10)-2),K10)</f>
        <v>NANI</v>
      </c>
      <c r="M10" s="26" t="str">
        <f>INDEX(Active!J:J, MATCH(Spearmans2!L10, Active!F:F,0),1)</f>
        <v>Anthropogenic Nitrogen</v>
      </c>
      <c r="N10" s="26" t="str">
        <f>INDEX(Active!B:B, MATCH(Spearmans2!L10, Active!F:F,0),1)</f>
        <v>Anthropogenic</v>
      </c>
      <c r="O10" s="26" t="str">
        <f>INDEX(Active!K:K, MATCH(Spearmans2!L10, Active!F:F,0),1)</f>
        <v>Net Anthropogenic Nitrogen within AOI: farm fertilizer + urban fertilizer + NOx deposition + CBNF + Human and Livestock food - crop N content - livestock N content</v>
      </c>
      <c r="P10" s="52" t="s">
        <v>322</v>
      </c>
      <c r="Q10" s="26" t="s">
        <v>92</v>
      </c>
      <c r="R10" s="26" t="s">
        <v>323</v>
      </c>
      <c r="S10" s="27">
        <v>0.81113225961224422</v>
      </c>
    </row>
    <row r="11" spans="1:19" s="20" customFormat="1" x14ac:dyDescent="0.3">
      <c r="A11" s="33" t="s">
        <v>7</v>
      </c>
      <c r="B11" s="23" t="str">
        <f>IF(RIGHT(A11,2)="WS", LEFT(A11,LEN(A11)-2),A11)</f>
        <v>BANKFULLDEPTH</v>
      </c>
      <c r="C11" s="23" t="str">
        <f>INDEX(Active!J:J, MATCH(Spearmans2!B11, Active!F:F,0),1)</f>
        <v>Predicted Bankfull Depth</v>
      </c>
      <c r="D11" s="23" t="str">
        <f>INDEX(Active!B:B, MATCH(Spearmans2!B11, Active!F:F,0),1)</f>
        <v>Natural</v>
      </c>
      <c r="E11" s="23" t="str">
        <f>INDEX(Active!D:D, MATCH(Spearmans2!B11, Active!F:F,0),1)</f>
        <v>Other</v>
      </c>
      <c r="F11" s="23" t="str">
        <f>INDEX(Active!K:K, MATCH(Spearmans2!B11, Active!F:F,0),1)</f>
        <v>Predicted bankfull depth: thalweg depth plus bankfull height, which is the height from the water surface to the bankfull stage</v>
      </c>
      <c r="G11" s="33" t="s">
        <v>125</v>
      </c>
      <c r="H11" s="23" t="s">
        <v>103</v>
      </c>
      <c r="I11" s="23" t="s">
        <v>123</v>
      </c>
      <c r="J11" s="23" t="s">
        <v>126</v>
      </c>
      <c r="K11" s="56" t="s">
        <v>3</v>
      </c>
      <c r="L11" s="24" t="str">
        <f>IF(RIGHT(K11,2)="WS", LEFT(K11,LEN(K11)-2),K11)</f>
        <v>NSURP</v>
      </c>
      <c r="M11" s="24" t="str">
        <f>INDEX(Active!J:J, MATCH(Spearmans2!L11, Active!F:F,0),1)</f>
        <v>Nitrogen Surplus</v>
      </c>
      <c r="N11" s="24" t="str">
        <f>INDEX(Active!B:B, MATCH(Spearmans2!L11, Active!F:F,0),1)</f>
        <v>Anthropogenic</v>
      </c>
      <c r="O11" s="24" t="str">
        <f>INDEX(Active!K:K, MATCH(Spearmans2!L11, Active!F:F,0),1)</f>
        <v>Nitrogen Surplus (kg N / yr) per AOI - excluding biological N Fixation</v>
      </c>
      <c r="P11" s="34" t="s">
        <v>341</v>
      </c>
      <c r="Q11" s="24" t="s">
        <v>92</v>
      </c>
      <c r="R11" s="24" t="s">
        <v>342</v>
      </c>
      <c r="S11" s="28">
        <v>0.82065462395691002</v>
      </c>
    </row>
    <row r="12" spans="1:19" s="20" customFormat="1" x14ac:dyDescent="0.3">
      <c r="A12" s="33" t="s">
        <v>7</v>
      </c>
      <c r="B12" s="23" t="str">
        <f>IF(RIGHT(A12,2)="WS", LEFT(A12,LEN(A12)-2),A12)</f>
        <v>BANKFULLDEPTH</v>
      </c>
      <c r="C12" s="23" t="str">
        <f>INDEX(Active!J:J, MATCH(Spearmans2!B12, Active!F:F,0),1)</f>
        <v>Predicted Bankfull Depth</v>
      </c>
      <c r="D12" s="23" t="str">
        <f>INDEX(Active!B:B, MATCH(Spearmans2!B12, Active!F:F,0),1)</f>
        <v>Natural</v>
      </c>
      <c r="E12" s="23" t="str">
        <f>INDEX(Active!D:D, MATCH(Spearmans2!B12, Active!F:F,0),1)</f>
        <v>Other</v>
      </c>
      <c r="F12" s="23" t="str">
        <f>INDEX(Active!K:K, MATCH(Spearmans2!B12, Active!F:F,0),1)</f>
        <v>Predicted bankfull depth: thalweg depth plus bankfull height, which is the height from the water surface to the bankfull stage</v>
      </c>
      <c r="G12" s="33" t="s">
        <v>125</v>
      </c>
      <c r="H12" s="23" t="s">
        <v>103</v>
      </c>
      <c r="I12" s="23" t="s">
        <v>123</v>
      </c>
      <c r="J12" s="23" t="s">
        <v>126</v>
      </c>
      <c r="K12" s="56" t="s">
        <v>763</v>
      </c>
      <c r="L12" s="24" t="str">
        <f>IF(RIGHT(K12,2)="WS", LEFT(K12,LEN(K12)-2),K12)</f>
        <v>THALWEGDEPTH</v>
      </c>
      <c r="M12" s="24" t="e">
        <f>INDEX(Active!J:J, MATCH(Spearmans2!L12, Active!F:F,0),1)</f>
        <v>#N/A</v>
      </c>
      <c r="N12" s="24" t="e">
        <f>INDEX(Active!B:B, MATCH(Spearmans2!L12, Active!F:F,0),1)</f>
        <v>#N/A</v>
      </c>
      <c r="O12" s="24" t="e">
        <f>INDEX(Active!K:K, MATCH(Spearmans2!L12, Active!F:F,0),1)</f>
        <v>#N/A</v>
      </c>
      <c r="P12" s="34" t="e">
        <v>#N/A</v>
      </c>
      <c r="Q12" s="24" t="e">
        <v>#N/A</v>
      </c>
      <c r="R12" s="24" t="e">
        <v>#N/A</v>
      </c>
      <c r="S12" s="28">
        <v>0.92610250785574666</v>
      </c>
    </row>
    <row r="13" spans="1:19" s="20" customFormat="1" x14ac:dyDescent="0.3">
      <c r="A13" s="33" t="s">
        <v>7</v>
      </c>
      <c r="B13" s="23" t="str">
        <f>IF(RIGHT(A13,2)="WS", LEFT(A13,LEN(A13)-2),A13)</f>
        <v>BANKFULLDEPTH</v>
      </c>
      <c r="C13" s="23" t="str">
        <f>INDEX(Active!J:J, MATCH(Spearmans2!B13, Active!F:F,0),1)</f>
        <v>Predicted Bankfull Depth</v>
      </c>
      <c r="D13" s="23" t="str">
        <f>INDEX(Active!B:B, MATCH(Spearmans2!B13, Active!F:F,0),1)</f>
        <v>Natural</v>
      </c>
      <c r="E13" s="23" t="str">
        <f>INDEX(Active!D:D, MATCH(Spearmans2!B13, Active!F:F,0),1)</f>
        <v>Other</v>
      </c>
      <c r="F13" s="23" t="str">
        <f>INDEX(Active!K:K, MATCH(Spearmans2!B13, Active!F:F,0),1)</f>
        <v>Predicted bankfull depth: thalweg depth plus bankfull height, which is the height from the water surface to the bankfull stage</v>
      </c>
      <c r="G13" s="33" t="s">
        <v>125</v>
      </c>
      <c r="H13" s="23" t="s">
        <v>103</v>
      </c>
      <c r="I13" s="23" t="s">
        <v>123</v>
      </c>
      <c r="J13" s="23" t="s">
        <v>126</v>
      </c>
      <c r="K13" s="56" t="s">
        <v>5</v>
      </c>
      <c r="L13" s="24" t="str">
        <f>IF(RIGHT(K13,2)="WS", LEFT(K13,LEN(K13)-2),K13)</f>
        <v>WETTEDWIDTH</v>
      </c>
      <c r="M13" s="24" t="str">
        <f>INDEX(Active!J:J, MATCH(Spearmans2!L13, Active!F:F,0),1)</f>
        <v>Predicted Wetted Width</v>
      </c>
      <c r="N13" s="24" t="str">
        <f>INDEX(Active!B:B, MATCH(Spearmans2!L13, Active!F:F,0),1)</f>
        <v>Natural</v>
      </c>
      <c r="O13" s="24" t="str">
        <f>INDEX(Active!K:K, MATCH(Spearmans2!L13, Active!F:F,0),1)</f>
        <v>Predicted wetted width: distance of the waters edge from left to right bank</v>
      </c>
      <c r="P13" s="34" t="s">
        <v>726</v>
      </c>
      <c r="Q13" s="24" t="s">
        <v>103</v>
      </c>
      <c r="R13" s="24" t="s">
        <v>727</v>
      </c>
      <c r="S13" s="28">
        <v>0.94009984678118441</v>
      </c>
    </row>
    <row r="14" spans="1:19" s="21" customFormat="1" x14ac:dyDescent="0.3">
      <c r="A14" s="38" t="s">
        <v>7</v>
      </c>
      <c r="B14" s="29" t="str">
        <f>IF(RIGHT(A14,2)="WS", LEFT(A14,LEN(A14)-2),A14)</f>
        <v>BANKFULLDEPTH</v>
      </c>
      <c r="C14" s="29" t="str">
        <f>INDEX(Active!J:J, MATCH(Spearmans2!B14, Active!F:F,0),1)</f>
        <v>Predicted Bankfull Depth</v>
      </c>
      <c r="D14" s="29" t="str">
        <f>INDEX(Active!B:B, MATCH(Spearmans2!B14, Active!F:F,0),1)</f>
        <v>Natural</v>
      </c>
      <c r="E14" s="29" t="str">
        <f>INDEX(Active!D:D, MATCH(Spearmans2!B14, Active!F:F,0),1)</f>
        <v>Other</v>
      </c>
      <c r="F14" s="29" t="str">
        <f>INDEX(Active!K:K, MATCH(Spearmans2!B14, Active!F:F,0),1)</f>
        <v>Predicted bankfull depth: thalweg depth plus bankfull height, which is the height from the water surface to the bankfull stage</v>
      </c>
      <c r="G14" s="38" t="s">
        <v>125</v>
      </c>
      <c r="H14" s="29" t="s">
        <v>103</v>
      </c>
      <c r="I14" s="29" t="s">
        <v>123</v>
      </c>
      <c r="J14" s="29" t="s">
        <v>126</v>
      </c>
      <c r="K14" s="57" t="s">
        <v>6</v>
      </c>
      <c r="L14" s="30" t="str">
        <f>IF(RIGHT(K14,2)="WS", LEFT(K14,LEN(K14)-2),K14)</f>
        <v>BANKFULLWIDTH</v>
      </c>
      <c r="M14" s="30" t="str">
        <f>INDEX(Active!J:J, MATCH(Spearmans2!L14, Active!F:F,0),1)</f>
        <v>Predicted Bankfull Width</v>
      </c>
      <c r="N14" s="30" t="str">
        <f>INDEX(Active!B:B, MATCH(Spearmans2!L14, Active!F:F,0),1)</f>
        <v>Natural</v>
      </c>
      <c r="O14" s="30" t="str">
        <f>INDEX(Active!K:K, MATCH(Spearmans2!L14, Active!F:F,0),1)</f>
        <v>Predicted bankfull width: distance from left to right bank at bankfull stage where the potential water height would spill outside of the channel and into the floodplain</v>
      </c>
      <c r="P14" s="53" t="s">
        <v>131</v>
      </c>
      <c r="Q14" s="30" t="s">
        <v>103</v>
      </c>
      <c r="R14" s="30" t="s">
        <v>132</v>
      </c>
      <c r="S14" s="31">
        <v>0.94204504010677859</v>
      </c>
    </row>
    <row r="15" spans="1:19" s="19" customFormat="1" x14ac:dyDescent="0.3">
      <c r="A15" s="37" t="s">
        <v>6</v>
      </c>
      <c r="B15" s="25" t="str">
        <f>IF(RIGHT(A15,2)="WS", LEFT(A15,LEN(A15)-2),A15)</f>
        <v>BANKFULLWIDTH</v>
      </c>
      <c r="C15" s="25" t="str">
        <f>INDEX(Active!J:J, MATCH(Spearmans2!B15, Active!F:F,0),1)</f>
        <v>Predicted Bankfull Width</v>
      </c>
      <c r="D15" s="25" t="str">
        <f>INDEX(Active!B:B, MATCH(Spearmans2!B15, Active!F:F,0),1)</f>
        <v>Natural</v>
      </c>
      <c r="E15" s="25" t="str">
        <f>INDEX(Active!D:D, MATCH(Spearmans2!B15, Active!F:F,0),1)</f>
        <v>Other</v>
      </c>
      <c r="F15" s="25" t="str">
        <f>INDEX(Active!K:K, MATCH(Spearmans2!B15, Active!F:F,0),1)</f>
        <v>Predicted bankfull width: distance from left to right bank at bankfull stage where the potential water height would spill outside of the channel and into the floodplain</v>
      </c>
      <c r="G15" s="37" t="s">
        <v>131</v>
      </c>
      <c r="H15" s="25" t="s">
        <v>103</v>
      </c>
      <c r="I15" s="25" t="s">
        <v>123</v>
      </c>
      <c r="J15" s="25" t="s">
        <v>132</v>
      </c>
      <c r="K15" s="55" t="s">
        <v>4</v>
      </c>
      <c r="L15" s="26" t="str">
        <f>IF(RIGHT(K15,2)="WS", LEFT(K15,LEN(K15)-2),K15)</f>
        <v>NANI</v>
      </c>
      <c r="M15" s="26" t="str">
        <f>INDEX(Active!J:J, MATCH(Spearmans2!L15, Active!F:F,0),1)</f>
        <v>Anthropogenic Nitrogen</v>
      </c>
      <c r="N15" s="26" t="str">
        <f>INDEX(Active!B:B, MATCH(Spearmans2!L15, Active!F:F,0),1)</f>
        <v>Anthropogenic</v>
      </c>
      <c r="O15" s="26" t="str">
        <f>INDEX(Active!K:K, MATCH(Spearmans2!L15, Active!F:F,0),1)</f>
        <v>Net Anthropogenic Nitrogen within AOI: farm fertilizer + urban fertilizer + NOx deposition + CBNF + Human and Livestock food - crop N content - livestock N content</v>
      </c>
      <c r="P15" s="52" t="s">
        <v>322</v>
      </c>
      <c r="Q15" s="26" t="s">
        <v>92</v>
      </c>
      <c r="R15" s="26" t="s">
        <v>323</v>
      </c>
      <c r="S15" s="27">
        <v>0.83988426354725021</v>
      </c>
    </row>
    <row r="16" spans="1:19" s="20" customFormat="1" x14ac:dyDescent="0.3">
      <c r="A16" s="33" t="s">
        <v>6</v>
      </c>
      <c r="B16" s="23" t="str">
        <f>IF(RIGHT(A16,2)="WS", LEFT(A16,LEN(A16)-2),A16)</f>
        <v>BANKFULLWIDTH</v>
      </c>
      <c r="C16" s="23" t="str">
        <f>INDEX(Active!J:J, MATCH(Spearmans2!B16, Active!F:F,0),1)</f>
        <v>Predicted Bankfull Width</v>
      </c>
      <c r="D16" s="23" t="str">
        <f>INDEX(Active!B:B, MATCH(Spearmans2!B16, Active!F:F,0),1)</f>
        <v>Natural</v>
      </c>
      <c r="E16" s="23" t="str">
        <f>INDEX(Active!D:D, MATCH(Spearmans2!B16, Active!F:F,0),1)</f>
        <v>Other</v>
      </c>
      <c r="F16" s="23" t="str">
        <f>INDEX(Active!K:K, MATCH(Spearmans2!B16, Active!F:F,0),1)</f>
        <v>Predicted bankfull width: distance from left to right bank at bankfull stage where the potential water height would spill outside of the channel and into the floodplain</v>
      </c>
      <c r="G16" s="33" t="s">
        <v>131</v>
      </c>
      <c r="H16" s="23" t="s">
        <v>103</v>
      </c>
      <c r="I16" s="23" t="s">
        <v>123</v>
      </c>
      <c r="J16" s="23" t="s">
        <v>132</v>
      </c>
      <c r="K16" s="56" t="s">
        <v>3</v>
      </c>
      <c r="L16" s="24" t="str">
        <f>IF(RIGHT(K16,2)="WS", LEFT(K16,LEN(K16)-2),K16)</f>
        <v>NSURP</v>
      </c>
      <c r="M16" s="24" t="str">
        <f>INDEX(Active!J:J, MATCH(Spearmans2!L16, Active!F:F,0),1)</f>
        <v>Nitrogen Surplus</v>
      </c>
      <c r="N16" s="24" t="str">
        <f>INDEX(Active!B:B, MATCH(Spearmans2!L16, Active!F:F,0),1)</f>
        <v>Anthropogenic</v>
      </c>
      <c r="O16" s="24" t="str">
        <f>INDEX(Active!K:K, MATCH(Spearmans2!L16, Active!F:F,0),1)</f>
        <v>Nitrogen Surplus (kg N / yr) per AOI - excluding biological N Fixation</v>
      </c>
      <c r="P16" s="34" t="s">
        <v>341</v>
      </c>
      <c r="Q16" s="24" t="s">
        <v>92</v>
      </c>
      <c r="R16" s="24" t="s">
        <v>342</v>
      </c>
      <c r="S16" s="28">
        <v>0.84577613053092593</v>
      </c>
    </row>
    <row r="17" spans="1:19" s="20" customFormat="1" x14ac:dyDescent="0.3">
      <c r="A17" s="33" t="s">
        <v>6</v>
      </c>
      <c r="B17" s="23" t="str">
        <f>IF(RIGHT(A17,2)="WS", LEFT(A17,LEN(A17)-2),A17)</f>
        <v>BANKFULLWIDTH</v>
      </c>
      <c r="C17" s="23" t="str">
        <f>INDEX(Active!J:J, MATCH(Spearmans2!B17, Active!F:F,0),1)</f>
        <v>Predicted Bankfull Width</v>
      </c>
      <c r="D17" s="23" t="str">
        <f>INDEX(Active!B:B, MATCH(Spearmans2!B17, Active!F:F,0),1)</f>
        <v>Natural</v>
      </c>
      <c r="E17" s="23" t="str">
        <f>INDEX(Active!D:D, MATCH(Spearmans2!B17, Active!F:F,0),1)</f>
        <v>Other</v>
      </c>
      <c r="F17" s="23" t="str">
        <f>INDEX(Active!K:K, MATCH(Spearmans2!B17, Active!F:F,0),1)</f>
        <v>Predicted bankfull width: distance from left to right bank at bankfull stage where the potential water height would spill outside of the channel and into the floodplain</v>
      </c>
      <c r="G17" s="33" t="s">
        <v>131</v>
      </c>
      <c r="H17" s="23" t="s">
        <v>103</v>
      </c>
      <c r="I17" s="23" t="s">
        <v>123</v>
      </c>
      <c r="J17" s="23" t="s">
        <v>132</v>
      </c>
      <c r="K17" s="56" t="s">
        <v>7</v>
      </c>
      <c r="L17" s="24" t="str">
        <f>IF(RIGHT(K17,2)="WS", LEFT(K17,LEN(K17)-2),K17)</f>
        <v>BANKFULLDEPTH</v>
      </c>
      <c r="M17" s="24" t="str">
        <f>INDEX(Active!J:J, MATCH(Spearmans2!L17, Active!F:F,0),1)</f>
        <v>Predicted Bankfull Depth</v>
      </c>
      <c r="N17" s="24" t="str">
        <f>INDEX(Active!B:B, MATCH(Spearmans2!L17, Active!F:F,0),1)</f>
        <v>Natural</v>
      </c>
      <c r="O17" s="24" t="str">
        <f>INDEX(Active!K:K, MATCH(Spearmans2!L17, Active!F:F,0),1)</f>
        <v>Predicted bankfull depth: thalweg depth plus bankfull height, which is the height from the water surface to the bankfull stage</v>
      </c>
      <c r="P17" s="34" t="s">
        <v>125</v>
      </c>
      <c r="Q17" s="24" t="s">
        <v>103</v>
      </c>
      <c r="R17" s="24" t="s">
        <v>126</v>
      </c>
      <c r="S17" s="28">
        <v>0.94204504010677859</v>
      </c>
    </row>
    <row r="18" spans="1:19" s="20" customFormat="1" x14ac:dyDescent="0.3">
      <c r="A18" s="33" t="s">
        <v>6</v>
      </c>
      <c r="B18" s="23" t="str">
        <f>IF(RIGHT(A18,2)="WS", LEFT(A18,LEN(A18)-2),A18)</f>
        <v>BANKFULLWIDTH</v>
      </c>
      <c r="C18" s="23" t="str">
        <f>INDEX(Active!J:J, MATCH(Spearmans2!B18, Active!F:F,0),1)</f>
        <v>Predicted Bankfull Width</v>
      </c>
      <c r="D18" s="23" t="str">
        <f>INDEX(Active!B:B, MATCH(Spearmans2!B18, Active!F:F,0),1)</f>
        <v>Natural</v>
      </c>
      <c r="E18" s="23" t="str">
        <f>INDEX(Active!D:D, MATCH(Spearmans2!B18, Active!F:F,0),1)</f>
        <v>Other</v>
      </c>
      <c r="F18" s="23" t="str">
        <f>INDEX(Active!K:K, MATCH(Spearmans2!B18, Active!F:F,0),1)</f>
        <v>Predicted bankfull width: distance from left to right bank at bankfull stage where the potential water height would spill outside of the channel and into the floodplain</v>
      </c>
      <c r="G18" s="33" t="s">
        <v>131</v>
      </c>
      <c r="H18" s="23" t="s">
        <v>103</v>
      </c>
      <c r="I18" s="23" t="s">
        <v>123</v>
      </c>
      <c r="J18" s="23" t="s">
        <v>132</v>
      </c>
      <c r="K18" s="56" t="s">
        <v>763</v>
      </c>
      <c r="L18" s="24" t="str">
        <f>IF(RIGHT(K18,2)="WS", LEFT(K18,LEN(K18)-2),K18)</f>
        <v>THALWEGDEPTH</v>
      </c>
      <c r="M18" s="24" t="e">
        <f>INDEX(Active!J:J, MATCH(Spearmans2!L18, Active!F:F,0),1)</f>
        <v>#N/A</v>
      </c>
      <c r="N18" s="24" t="e">
        <f>INDEX(Active!B:B, MATCH(Spearmans2!L18, Active!F:F,0),1)</f>
        <v>#N/A</v>
      </c>
      <c r="O18" s="24" t="e">
        <f>INDEX(Active!K:K, MATCH(Spearmans2!L18, Active!F:F,0),1)</f>
        <v>#N/A</v>
      </c>
      <c r="P18" s="34" t="e">
        <v>#N/A</v>
      </c>
      <c r="Q18" s="24" t="e">
        <v>#N/A</v>
      </c>
      <c r="R18" s="24" t="e">
        <v>#N/A</v>
      </c>
      <c r="S18" s="28">
        <v>0.9584725073649194</v>
      </c>
    </row>
    <row r="19" spans="1:19" s="21" customFormat="1" x14ac:dyDescent="0.3">
      <c r="A19" s="38" t="s">
        <v>6</v>
      </c>
      <c r="B19" s="29" t="str">
        <f>IF(RIGHT(A19,2)="WS", LEFT(A19,LEN(A19)-2),A19)</f>
        <v>BANKFULLWIDTH</v>
      </c>
      <c r="C19" s="29" t="str">
        <f>INDEX(Active!J:J, MATCH(Spearmans2!B19, Active!F:F,0),1)</f>
        <v>Predicted Bankfull Width</v>
      </c>
      <c r="D19" s="29" t="str">
        <f>INDEX(Active!B:B, MATCH(Spearmans2!B19, Active!F:F,0),1)</f>
        <v>Natural</v>
      </c>
      <c r="E19" s="29" t="str">
        <f>INDEX(Active!D:D, MATCH(Spearmans2!B19, Active!F:F,0),1)</f>
        <v>Other</v>
      </c>
      <c r="F19" s="29" t="str">
        <f>INDEX(Active!K:K, MATCH(Spearmans2!B19, Active!F:F,0),1)</f>
        <v>Predicted bankfull width: distance from left to right bank at bankfull stage where the potential water height would spill outside of the channel and into the floodplain</v>
      </c>
      <c r="G19" s="38" t="s">
        <v>131</v>
      </c>
      <c r="H19" s="29" t="s">
        <v>103</v>
      </c>
      <c r="I19" s="29" t="s">
        <v>123</v>
      </c>
      <c r="J19" s="29" t="s">
        <v>132</v>
      </c>
      <c r="K19" s="57" t="s">
        <v>5</v>
      </c>
      <c r="L19" s="30" t="str">
        <f>IF(RIGHT(K19,2)="WS", LEFT(K19,LEN(K19)-2),K19)</f>
        <v>WETTEDWIDTH</v>
      </c>
      <c r="M19" s="30" t="str">
        <f>INDEX(Active!J:J, MATCH(Spearmans2!L19, Active!F:F,0),1)</f>
        <v>Predicted Wetted Width</v>
      </c>
      <c r="N19" s="30" t="str">
        <f>INDEX(Active!B:B, MATCH(Spearmans2!L19, Active!F:F,0),1)</f>
        <v>Natural</v>
      </c>
      <c r="O19" s="30" t="str">
        <f>INDEX(Active!K:K, MATCH(Spearmans2!L19, Active!F:F,0),1)</f>
        <v>Predicted wetted width: distance of the waters edge from left to right bank</v>
      </c>
      <c r="P19" s="53" t="s">
        <v>726</v>
      </c>
      <c r="Q19" s="30" t="s">
        <v>103</v>
      </c>
      <c r="R19" s="30" t="s">
        <v>727</v>
      </c>
      <c r="S19" s="31">
        <v>0.99082892913269294</v>
      </c>
    </row>
    <row r="20" spans="1:19" s="19" customFormat="1" x14ac:dyDescent="0.3">
      <c r="A20" s="37" t="s">
        <v>34</v>
      </c>
      <c r="B20" s="25" t="str">
        <f>IF(RIGHT(A20,2)="WS", LEFT(A20,LEN(A20)-2),A20)</f>
        <v>BFI</v>
      </c>
      <c r="C20" s="25" t="str">
        <f>INDEX(Active!J:J, MATCH(Spearmans2!B20, Active!F:F,0),1)</f>
        <v>Base Flow Index</v>
      </c>
      <c r="D20" s="25" t="str">
        <f>INDEX(Active!B:B, MATCH(Spearmans2!B20, Active!F:F,0),1)</f>
        <v>Natural</v>
      </c>
      <c r="E20" s="25" t="str">
        <f>INDEX(Active!D:D, MATCH(Spearmans2!B20, Active!F:F,0),1)</f>
        <v>Flow</v>
      </c>
      <c r="F20" s="25" t="str">
        <f>INDEX(Active!K:K, MATCH(Spearmans2!B20, Active!F:F,0),1)</f>
        <v>Base flow is the component of streamflow that can be attributed to ground-water discharge into streams. The BFI is the ratio of base flow to total flow, expressed as a percentage, within AOI</v>
      </c>
      <c r="G20" s="37" t="s">
        <v>137</v>
      </c>
      <c r="H20" s="25" t="s">
        <v>103</v>
      </c>
      <c r="I20" s="25" t="s">
        <v>134</v>
      </c>
      <c r="J20" s="25" t="s">
        <v>138</v>
      </c>
      <c r="K20" s="55" t="s">
        <v>26</v>
      </c>
      <c r="L20" s="26" t="str">
        <f>IF(RIGHT(K20,2)="WS", LEFT(K20,LEN(K20)-2),K20)</f>
        <v>MAST2008</v>
      </c>
      <c r="M20" s="26" t="str">
        <f>INDEX(Active!J:J, MATCH(Spearmans2!L20, Active!F:F,0),1)</f>
        <v>Mean Annual Stream Temp</v>
      </c>
      <c r="N20" s="26" t="str">
        <f>INDEX(Active!B:B, MATCH(Spearmans2!L20, Active!F:F,0),1)</f>
        <v>Natural</v>
      </c>
      <c r="O20" s="26" t="str">
        <f>INDEX(Active!K:K, MATCH(Spearmans2!L20, Active!F:F,0),1)</f>
        <v>Predicted mean annual stream temperature (Jan-Dec) for year 2008, 2009, 2013, 2014</v>
      </c>
      <c r="P20" s="52" t="s">
        <v>281</v>
      </c>
      <c r="Q20" s="26" t="s">
        <v>103</v>
      </c>
      <c r="R20" s="26" t="s">
        <v>282</v>
      </c>
      <c r="S20" s="27">
        <v>-0.85416733474597839</v>
      </c>
    </row>
    <row r="21" spans="1:19" s="20" customFormat="1" x14ac:dyDescent="0.3">
      <c r="A21" s="33" t="s">
        <v>34</v>
      </c>
      <c r="B21" s="23" t="str">
        <f>IF(RIGHT(A21,2)="WS", LEFT(A21,LEN(A21)-2),A21)</f>
        <v>BFI</v>
      </c>
      <c r="C21" s="23" t="str">
        <f>INDEX(Active!J:J, MATCH(Spearmans2!B21, Active!F:F,0),1)</f>
        <v>Base Flow Index</v>
      </c>
      <c r="D21" s="23" t="str">
        <f>INDEX(Active!B:B, MATCH(Spearmans2!B21, Active!F:F,0),1)</f>
        <v>Natural</v>
      </c>
      <c r="E21" s="23" t="str">
        <f>INDEX(Active!D:D, MATCH(Spearmans2!B21, Active!F:F,0),1)</f>
        <v>Flow</v>
      </c>
      <c r="F21" s="23" t="str">
        <f>INDEX(Active!K:K, MATCH(Spearmans2!B21, Active!F:F,0),1)</f>
        <v>Base flow is the component of streamflow that can be attributed to ground-water discharge into streams. The BFI is the ratio of base flow to total flow, expressed as a percentage, within AOI</v>
      </c>
      <c r="G21" s="33" t="s">
        <v>137</v>
      </c>
      <c r="H21" s="23" t="s">
        <v>103</v>
      </c>
      <c r="I21" s="23" t="s">
        <v>134</v>
      </c>
      <c r="J21" s="23" t="s">
        <v>138</v>
      </c>
      <c r="K21" s="56" t="s">
        <v>25</v>
      </c>
      <c r="L21" s="24" t="str">
        <f>IF(RIGHT(K21,2)="WS", LEFT(K21,LEN(K21)-2),K21)</f>
        <v>TMIN9120</v>
      </c>
      <c r="M21" s="24" t="str">
        <f>INDEX(Active!J:J, MATCH(Spearmans2!L21, Active!F:F,0),1)</f>
        <v>30-year Average Annual Normal Minimum Air Temperature</v>
      </c>
      <c r="N21" s="24" t="str">
        <f>INDEX(Active!B:B, MATCH(Spearmans2!L21, Active!F:F,0),1)</f>
        <v>Natural</v>
      </c>
      <c r="O21" s="24" t="str">
        <f>INDEX(Active!K:K, MATCH(Spearmans2!L21, Active!F:F,0),1)</f>
        <v>PRISM climate data - 30-year normal minimum temperature (CÂ°): Annual period: 1991-2020 within the AOI</v>
      </c>
      <c r="P21" s="34" t="s">
        <v>702</v>
      </c>
      <c r="Q21" s="24" t="s">
        <v>103</v>
      </c>
      <c r="R21" s="24" t="s">
        <v>706</v>
      </c>
      <c r="S21" s="28">
        <v>-0.83217987407830274</v>
      </c>
    </row>
    <row r="22" spans="1:19" s="20" customFormat="1" x14ac:dyDescent="0.3">
      <c r="A22" s="33" t="s">
        <v>34</v>
      </c>
      <c r="B22" s="23" t="str">
        <f>IF(RIGHT(A22,2)="WS", LEFT(A22,LEN(A22)-2),A22)</f>
        <v>BFI</v>
      </c>
      <c r="C22" s="23" t="str">
        <f>INDEX(Active!J:J, MATCH(Spearmans2!B22, Active!F:F,0),1)</f>
        <v>Base Flow Index</v>
      </c>
      <c r="D22" s="23" t="str">
        <f>INDEX(Active!B:B, MATCH(Spearmans2!B22, Active!F:F,0),1)</f>
        <v>Natural</v>
      </c>
      <c r="E22" s="23" t="str">
        <f>INDEX(Active!D:D, MATCH(Spearmans2!B22, Active!F:F,0),1)</f>
        <v>Flow</v>
      </c>
      <c r="F22" s="23" t="str">
        <f>INDEX(Active!K:K, MATCH(Spearmans2!B22, Active!F:F,0),1)</f>
        <v>Base flow is the component of streamflow that can be attributed to ground-water discharge into streams. The BFI is the ratio of base flow to total flow, expressed as a percentage, within AOI</v>
      </c>
      <c r="G22" s="33" t="s">
        <v>137</v>
      </c>
      <c r="H22" s="23" t="s">
        <v>103</v>
      </c>
      <c r="I22" s="23" t="s">
        <v>134</v>
      </c>
      <c r="J22" s="23" t="s">
        <v>138</v>
      </c>
      <c r="K22" s="56" t="s">
        <v>21</v>
      </c>
      <c r="L22" s="24" t="str">
        <f>IF(RIGHT(K22,2)="WS", LEFT(K22,LEN(K22)-2),K22)</f>
        <v>TMIN8110</v>
      </c>
      <c r="M22" s="24" t="str">
        <f>INDEX(Active!J:J, MATCH(Spearmans2!L22, Active!F:F,0),1)</f>
        <v>30-year Average Annual Normal Minimum Air Temperature</v>
      </c>
      <c r="N22" s="24" t="str">
        <f>INDEX(Active!B:B, MATCH(Spearmans2!L22, Active!F:F,0),1)</f>
        <v>Natural</v>
      </c>
      <c r="O22" s="24" t="str">
        <f>INDEX(Active!K:K, MATCH(Spearmans2!L22, Active!F:F,0),1)</f>
        <v>PRISM climate data - 30-year normal minimum temperature (CÂ°): Annual period: 1981-2010 within the AOI</v>
      </c>
      <c r="P22" s="34" t="s">
        <v>702</v>
      </c>
      <c r="Q22" s="24" t="s">
        <v>103</v>
      </c>
      <c r="R22" s="24" t="s">
        <v>703</v>
      </c>
      <c r="S22" s="28">
        <v>-0.82646241197018389</v>
      </c>
    </row>
    <row r="23" spans="1:19" s="20" customFormat="1" x14ac:dyDescent="0.3">
      <c r="A23" s="33" t="s">
        <v>34</v>
      </c>
      <c r="B23" s="23" t="str">
        <f>IF(RIGHT(A23,2)="WS", LEFT(A23,LEN(A23)-2),A23)</f>
        <v>BFI</v>
      </c>
      <c r="C23" s="23" t="str">
        <f>INDEX(Active!J:J, MATCH(Spearmans2!B23, Active!F:F,0),1)</f>
        <v>Base Flow Index</v>
      </c>
      <c r="D23" s="23" t="str">
        <f>INDEX(Active!B:B, MATCH(Spearmans2!B23, Active!F:F,0),1)</f>
        <v>Natural</v>
      </c>
      <c r="E23" s="23" t="str">
        <f>INDEX(Active!D:D, MATCH(Spearmans2!B23, Active!F:F,0),1)</f>
        <v>Flow</v>
      </c>
      <c r="F23" s="23" t="str">
        <f>INDEX(Active!K:K, MATCH(Spearmans2!B23, Active!F:F,0),1)</f>
        <v>Base flow is the component of streamflow that can be attributed to ground-water discharge into streams. The BFI is the ratio of base flow to total flow, expressed as a percentage, within AOI</v>
      </c>
      <c r="G23" s="33" t="s">
        <v>137</v>
      </c>
      <c r="H23" s="23" t="s">
        <v>103</v>
      </c>
      <c r="I23" s="23" t="s">
        <v>134</v>
      </c>
      <c r="J23" s="23" t="s">
        <v>138</v>
      </c>
      <c r="K23" s="56" t="s">
        <v>24</v>
      </c>
      <c r="L23" s="24" t="str">
        <f>IF(RIGHT(K23,2)="WS", LEFT(K23,LEN(K23)-2),K23)</f>
        <v>TMEAN9120</v>
      </c>
      <c r="M23" s="24" t="str">
        <f>INDEX(Active!J:J, MATCH(Spearmans2!L23, Active!F:F,0),1)</f>
        <v>30-year Mean Annual Air Temperature</v>
      </c>
      <c r="N23" s="24" t="str">
        <f>INDEX(Active!B:B, MATCH(Spearmans2!L23, Active!F:F,0),1)</f>
        <v>Natural</v>
      </c>
      <c r="O23" s="24" t="str">
        <f>INDEX(Active!K:K, MATCH(Spearmans2!L23, Active!F:F,0),1)</f>
        <v>PRISM climate data - 30-year normal mean temperature (CÂ°): Annual period: 1991-2020 within the AOI</v>
      </c>
      <c r="P23" s="34" t="s">
        <v>695</v>
      </c>
      <c r="Q23" s="24" t="s">
        <v>103</v>
      </c>
      <c r="R23" s="24" t="s">
        <v>699</v>
      </c>
      <c r="S23" s="28">
        <v>-0.82148538875023114</v>
      </c>
    </row>
    <row r="24" spans="1:19" s="20" customFormat="1" x14ac:dyDescent="0.3">
      <c r="A24" s="33" t="s">
        <v>34</v>
      </c>
      <c r="B24" s="23" t="str">
        <f>IF(RIGHT(A24,2)="WS", LEFT(A24,LEN(A24)-2),A24)</f>
        <v>BFI</v>
      </c>
      <c r="C24" s="23" t="str">
        <f>INDEX(Active!J:J, MATCH(Spearmans2!B24, Active!F:F,0),1)</f>
        <v>Base Flow Index</v>
      </c>
      <c r="D24" s="23" t="str">
        <f>INDEX(Active!B:B, MATCH(Spearmans2!B24, Active!F:F,0),1)</f>
        <v>Natural</v>
      </c>
      <c r="E24" s="23" t="str">
        <f>INDEX(Active!D:D, MATCH(Spearmans2!B24, Active!F:F,0),1)</f>
        <v>Flow</v>
      </c>
      <c r="F24" s="23" t="str">
        <f>INDEX(Active!K:K, MATCH(Spearmans2!B24, Active!F:F,0),1)</f>
        <v>Base flow is the component of streamflow that can be attributed to ground-water discharge into streams. The BFI is the ratio of base flow to total flow, expressed as a percentage, within AOI</v>
      </c>
      <c r="G24" s="33" t="s">
        <v>137</v>
      </c>
      <c r="H24" s="23" t="s">
        <v>103</v>
      </c>
      <c r="I24" s="23" t="s">
        <v>134</v>
      </c>
      <c r="J24" s="23" t="s">
        <v>138</v>
      </c>
      <c r="K24" s="56" t="s">
        <v>20</v>
      </c>
      <c r="L24" s="24" t="str">
        <f>IF(RIGHT(K24,2)="WS", LEFT(K24,LEN(K24)-2),K24)</f>
        <v>TMEAN8110</v>
      </c>
      <c r="M24" s="24" t="str">
        <f>INDEX(Active!J:J, MATCH(Spearmans2!L24, Active!F:F,0),1)</f>
        <v>30-year Mean Annual Air Temperature</v>
      </c>
      <c r="N24" s="24" t="str">
        <f>INDEX(Active!B:B, MATCH(Spearmans2!L24, Active!F:F,0),1)</f>
        <v>Natural</v>
      </c>
      <c r="O24" s="24" t="str">
        <f>INDEX(Active!K:K, MATCH(Spearmans2!L24, Active!F:F,0),1)</f>
        <v>PRISM climate data - 30-year normal mean temperature (CÂ°): Annual period: 1981-2010 within the AOI</v>
      </c>
      <c r="P24" s="34" t="s">
        <v>695</v>
      </c>
      <c r="Q24" s="24" t="s">
        <v>103</v>
      </c>
      <c r="R24" s="24" t="s">
        <v>696</v>
      </c>
      <c r="S24" s="28">
        <v>-0.81877584180401763</v>
      </c>
    </row>
    <row r="25" spans="1:19" s="21" customFormat="1" x14ac:dyDescent="0.3">
      <c r="A25" s="38" t="s">
        <v>34</v>
      </c>
      <c r="B25" s="29" t="str">
        <f>IF(RIGHT(A25,2)="WS", LEFT(A25,LEN(A25)-2),A25)</f>
        <v>BFI</v>
      </c>
      <c r="C25" s="29" t="str">
        <f>INDEX(Active!J:J, MATCH(Spearmans2!B25, Active!F:F,0),1)</f>
        <v>Base Flow Index</v>
      </c>
      <c r="D25" s="29" t="str">
        <f>INDEX(Active!B:B, MATCH(Spearmans2!B25, Active!F:F,0),1)</f>
        <v>Natural</v>
      </c>
      <c r="E25" s="29" t="str">
        <f>INDEX(Active!D:D, MATCH(Spearmans2!B25, Active!F:F,0),1)</f>
        <v>Flow</v>
      </c>
      <c r="F25" s="29" t="str">
        <f>INDEX(Active!K:K, MATCH(Spearmans2!B25, Active!F:F,0),1)</f>
        <v>Base flow is the component of streamflow that can be attributed to ground-water discharge into streams. The BFI is the ratio of base flow to total flow, expressed as a percentage, within AOI</v>
      </c>
      <c r="G25" s="38" t="s">
        <v>137</v>
      </c>
      <c r="H25" s="29" t="s">
        <v>103</v>
      </c>
      <c r="I25" s="29" t="s">
        <v>134</v>
      </c>
      <c r="J25" s="29" t="s">
        <v>138</v>
      </c>
      <c r="K25" s="57" t="s">
        <v>22</v>
      </c>
      <c r="L25" s="30" t="str">
        <f>IF(RIGHT(K25,2)="WS", LEFT(K25,LEN(K25)-2),K25)</f>
        <v>TMEAN2008</v>
      </c>
      <c r="M25" s="30" t="str">
        <f>INDEX(Active!J:J, MATCH(Spearmans2!L25, Active!F:F,0),1)</f>
        <v>Mean Air Temperature</v>
      </c>
      <c r="N25" s="30" t="str">
        <f>INDEX(Active!B:B, MATCH(Spearmans2!L25, Active!F:F,0),1)</f>
        <v>Natural</v>
      </c>
      <c r="O25" s="30" t="str">
        <f>INDEX(Active!K:K, MATCH(Spearmans2!L25, Active!F:F,0),1)</f>
        <v>PRISM climate data - Mean temperature (°C) within the AOI. Period: 2008 and 2009</v>
      </c>
      <c r="P25" s="53" t="s">
        <v>691</v>
      </c>
      <c r="Q25" s="30" t="s">
        <v>103</v>
      </c>
      <c r="R25" s="30" t="s">
        <v>692</v>
      </c>
      <c r="S25" s="31">
        <v>-0.80394434757317279</v>
      </c>
    </row>
    <row r="26" spans="1:19" s="19" customFormat="1" x14ac:dyDescent="0.3">
      <c r="A26" s="37" t="s">
        <v>57</v>
      </c>
      <c r="B26" s="25" t="str">
        <f>IF(RIGHT(A26,2)="WS", LEFT(A26,LEN(A26)-2),A26)</f>
        <v>CAO</v>
      </c>
      <c r="C26" s="25" t="str">
        <f>INDEX(Active!J:J, MATCH(Spearmans2!B26, Active!F:F,0),1)</f>
        <v>Mean Lithological Calcium Oxide</v>
      </c>
      <c r="D26" s="25" t="str">
        <f>INDEX(Active!B:B, MATCH(Spearmans2!B26, Active!F:F,0),1)</f>
        <v>Natural</v>
      </c>
      <c r="E26" s="25" t="str">
        <f>INDEX(Active!D:D, MATCH(Spearmans2!B26, Active!F:F,0),1)</f>
        <v>Lithology</v>
      </c>
      <c r="F26" s="25" t="str">
        <f>INDEX(Active!K:K, MATCH(Spearmans2!B26, Active!F:F,0),1)</f>
        <v>Mean % of lithological calcium oxide (CaO) content in surface or near surface geology within AOI</v>
      </c>
      <c r="G26" s="37" t="s">
        <v>148</v>
      </c>
      <c r="H26" s="25" t="s">
        <v>103</v>
      </c>
      <c r="I26" s="25" t="s">
        <v>104</v>
      </c>
      <c r="J26" s="25" t="s">
        <v>149</v>
      </c>
      <c r="K26" s="55" t="s">
        <v>54</v>
      </c>
      <c r="L26" s="26" t="str">
        <f>IF(RIGHT(K26,2)="WS", LEFT(K26,LEN(K26)-2),K26)</f>
        <v>SIO2</v>
      </c>
      <c r="M26" s="26" t="str">
        <f>INDEX(Active!J:J, MATCH(Spearmans2!L26, Active!F:F,0),1)</f>
        <v>Mean Lithological Silicon Dioxide</v>
      </c>
      <c r="N26" s="26" t="str">
        <f>INDEX(Active!B:B, MATCH(Spearmans2!L26, Active!F:F,0),1)</f>
        <v>Natural</v>
      </c>
      <c r="O26" s="26" t="str">
        <f>INDEX(Active!K:K, MATCH(Spearmans2!L26, Active!F:F,0),1)</f>
        <v>Mean % of lithological silicon dioxide (SiO2) content in surface or near surface geology within AOI</v>
      </c>
      <c r="P26" s="52" t="s">
        <v>659</v>
      </c>
      <c r="Q26" s="26" t="s">
        <v>103</v>
      </c>
      <c r="R26" s="26" t="s">
        <v>660</v>
      </c>
      <c r="S26" s="27">
        <v>-0.91125059457127466</v>
      </c>
    </row>
    <row r="27" spans="1:19" s="20" customFormat="1" x14ac:dyDescent="0.3">
      <c r="A27" s="33" t="s">
        <v>57</v>
      </c>
      <c r="B27" s="23" t="str">
        <f>IF(RIGHT(A27,2)="WS", LEFT(A27,LEN(A27)-2),A27)</f>
        <v>CAO</v>
      </c>
      <c r="C27" s="23" t="str">
        <f>INDEX(Active!J:J, MATCH(Spearmans2!B27, Active!F:F,0),1)</f>
        <v>Mean Lithological Calcium Oxide</v>
      </c>
      <c r="D27" s="23" t="str">
        <f>INDEX(Active!B:B, MATCH(Spearmans2!B27, Active!F:F,0),1)</f>
        <v>Natural</v>
      </c>
      <c r="E27" s="23" t="str">
        <f>INDEX(Active!D:D, MATCH(Spearmans2!B27, Active!F:F,0),1)</f>
        <v>Lithology</v>
      </c>
      <c r="F27" s="23" t="str">
        <f>INDEX(Active!K:K, MATCH(Spearmans2!B27, Active!F:F,0),1)</f>
        <v>Mean % of lithological calcium oxide (CaO) content in surface or near surface geology within AOI</v>
      </c>
      <c r="G27" s="33" t="s">
        <v>148</v>
      </c>
      <c r="H27" s="23" t="s">
        <v>103</v>
      </c>
      <c r="I27" s="23" t="s">
        <v>104</v>
      </c>
      <c r="J27" s="23" t="s">
        <v>149</v>
      </c>
      <c r="K27" s="56" t="s">
        <v>53</v>
      </c>
      <c r="L27" s="24" t="str">
        <f>IF(RIGHT(K27,2)="WS", LEFT(K27,LEN(K27)-2),K27)</f>
        <v>AL2O3</v>
      </c>
      <c r="M27" s="24" t="str">
        <f>INDEX(Active!J:J, MATCH(Spearmans2!L27, Active!F:F,0),1)</f>
        <v>Mean Lithological Aluminum Oxide</v>
      </c>
      <c r="N27" s="24" t="str">
        <f>INDEX(Active!B:B, MATCH(Spearmans2!L27, Active!F:F,0),1)</f>
        <v>Natural</v>
      </c>
      <c r="O27" s="24" t="str">
        <f>INDEX(Active!K:K, MATCH(Spearmans2!L27, Active!F:F,0),1)</f>
        <v>Mean % of lithological aluminum oxide (Al2O3) content in surface or near surface geology within AOI</v>
      </c>
      <c r="P27" s="34" t="s">
        <v>107</v>
      </c>
      <c r="Q27" s="24" t="s">
        <v>103</v>
      </c>
      <c r="R27" s="24" t="s">
        <v>108</v>
      </c>
      <c r="S27" s="28">
        <v>0.82627091551357235</v>
      </c>
    </row>
    <row r="28" spans="1:19" s="20" customFormat="1" x14ac:dyDescent="0.3">
      <c r="A28" s="33" t="s">
        <v>57</v>
      </c>
      <c r="B28" s="23" t="str">
        <f>IF(RIGHT(A28,2)="WS", LEFT(A28,LEN(A28)-2),A28)</f>
        <v>CAO</v>
      </c>
      <c r="C28" s="23" t="str">
        <f>INDEX(Active!J:J, MATCH(Spearmans2!B28, Active!F:F,0),1)</f>
        <v>Mean Lithological Calcium Oxide</v>
      </c>
      <c r="D28" s="23" t="str">
        <f>INDEX(Active!B:B, MATCH(Spearmans2!B28, Active!F:F,0),1)</f>
        <v>Natural</v>
      </c>
      <c r="E28" s="23" t="str">
        <f>INDEX(Active!D:D, MATCH(Spearmans2!B28, Active!F:F,0),1)</f>
        <v>Lithology</v>
      </c>
      <c r="F28" s="23" t="str">
        <f>INDEX(Active!K:K, MATCH(Spearmans2!B28, Active!F:F,0),1)</f>
        <v>Mean % of lithological calcium oxide (CaO) content in surface or near surface geology within AOI</v>
      </c>
      <c r="G28" s="33" t="s">
        <v>148</v>
      </c>
      <c r="H28" s="23" t="s">
        <v>103</v>
      </c>
      <c r="I28" s="23" t="s">
        <v>104</v>
      </c>
      <c r="J28" s="23" t="s">
        <v>149</v>
      </c>
      <c r="K28" s="56" t="s">
        <v>58</v>
      </c>
      <c r="L28" s="24" t="str">
        <f>IF(RIGHT(K28,2)="WS", LEFT(K28,LEN(K28)-2),K28)</f>
        <v>MGO</v>
      </c>
      <c r="M28" s="24" t="str">
        <f>INDEX(Active!J:J, MATCH(Spearmans2!L28, Active!F:F,0),1)</f>
        <v>Mean Lithological Magnesium Oxide</v>
      </c>
      <c r="N28" s="24" t="str">
        <f>INDEX(Active!B:B, MATCH(Spearmans2!L28, Active!F:F,0),1)</f>
        <v>Natural</v>
      </c>
      <c r="O28" s="24" t="str">
        <f>INDEX(Active!K:K, MATCH(Spearmans2!L28, Active!F:F,0),1)</f>
        <v>Mean % of lithological magnesium oxide (MgO) content in surface or near surface geology within AOI</v>
      </c>
      <c r="P28" s="34" t="s">
        <v>288</v>
      </c>
      <c r="Q28" s="24" t="s">
        <v>103</v>
      </c>
      <c r="R28" s="24" t="s">
        <v>289</v>
      </c>
      <c r="S28" s="28">
        <v>0.88052675202645847</v>
      </c>
    </row>
    <row r="29" spans="1:19" s="21" customFormat="1" x14ac:dyDescent="0.3">
      <c r="A29" s="38" t="s">
        <v>57</v>
      </c>
      <c r="B29" s="29" t="str">
        <f>IF(RIGHT(A29,2)="WS", LEFT(A29,LEN(A29)-2),A29)</f>
        <v>CAO</v>
      </c>
      <c r="C29" s="29" t="str">
        <f>INDEX(Active!J:J, MATCH(Spearmans2!B29, Active!F:F,0),1)</f>
        <v>Mean Lithological Calcium Oxide</v>
      </c>
      <c r="D29" s="29" t="str">
        <f>INDEX(Active!B:B, MATCH(Spearmans2!B29, Active!F:F,0),1)</f>
        <v>Natural</v>
      </c>
      <c r="E29" s="29" t="str">
        <f>INDEX(Active!D:D, MATCH(Spearmans2!B29, Active!F:F,0),1)</f>
        <v>Lithology</v>
      </c>
      <c r="F29" s="29" t="str">
        <f>INDEX(Active!K:K, MATCH(Spearmans2!B29, Active!F:F,0),1)</f>
        <v>Mean % of lithological calcium oxide (CaO) content in surface or near surface geology within AOI</v>
      </c>
      <c r="G29" s="38" t="s">
        <v>148</v>
      </c>
      <c r="H29" s="29" t="s">
        <v>103</v>
      </c>
      <c r="I29" s="29" t="s">
        <v>104</v>
      </c>
      <c r="J29" s="29" t="s">
        <v>149</v>
      </c>
      <c r="K29" s="57" t="s">
        <v>52</v>
      </c>
      <c r="L29" s="30" t="str">
        <f>IF(RIGHT(K29,2)="WS", LEFT(K29,LEN(K29)-2),K29)</f>
        <v>P2O5</v>
      </c>
      <c r="M29" s="30" t="str">
        <f>INDEX(Active!J:J, MATCH(Spearmans2!L29, Active!F:F,0),1)</f>
        <v>Mean Lithological Phosphorous Oxide</v>
      </c>
      <c r="N29" s="30" t="str">
        <f>INDEX(Active!B:B, MATCH(Spearmans2!L29, Active!F:F,0),1)</f>
        <v>Natural</v>
      </c>
      <c r="O29" s="30" t="str">
        <f>INDEX(Active!K:K, MATCH(Spearmans2!L29, Active!F:F,0),1)</f>
        <v>Mean % of lithological phosphorous oxide (P2O5) content in surface or near surface geology within AOI</v>
      </c>
      <c r="P29" s="53" t="s">
        <v>349</v>
      </c>
      <c r="Q29" s="30" t="s">
        <v>103</v>
      </c>
      <c r="R29" s="30" t="s">
        <v>350</v>
      </c>
      <c r="S29" s="31">
        <v>0.93815151482092562</v>
      </c>
    </row>
    <row r="30" spans="1:19" s="19" customFormat="1" x14ac:dyDescent="0.3">
      <c r="A30" s="37" t="s">
        <v>11</v>
      </c>
      <c r="B30" s="25" t="str">
        <f>IF(RIGHT(A30,2)="WS", LEFT(A30,LEN(A30)-2),A30)</f>
        <v>CBNF</v>
      </c>
      <c r="C30" s="25" t="str">
        <f>INDEX(Active!J:J, MATCH(Spearmans2!B30, Active!F:F,0),1)</f>
        <v>Cultivated Biological Nitrogen Fixation Mean Rate</v>
      </c>
      <c r="D30" s="25" t="str">
        <f>INDEX(Active!B:B, MATCH(Spearmans2!B30, Active!F:F,0),1)</f>
        <v>Anthropogenic</v>
      </c>
      <c r="E30" s="25" t="str">
        <f>INDEX(Active!D:D, MATCH(Spearmans2!B30, Active!F:F,0),1)</f>
        <v>Agriculture</v>
      </c>
      <c r="F30" s="25" t="str">
        <f>INDEX(Active!K:K, MATCH(Spearmans2!B30, Active!F:F,0),1)</f>
        <v>Mean rate of biological nitrogen fixation from the cultivation of crops in kg N/ha/yr, within AOI</v>
      </c>
      <c r="G30" s="37" t="s">
        <v>168</v>
      </c>
      <c r="H30" s="25" t="s">
        <v>92</v>
      </c>
      <c r="I30" s="25" t="s">
        <v>94</v>
      </c>
      <c r="J30" s="25" t="s">
        <v>169</v>
      </c>
      <c r="K30" s="55" t="s">
        <v>12</v>
      </c>
      <c r="L30" s="26" t="str">
        <f>IF(RIGHT(K30,2)="WS", LEFT(K30,LEN(K30)-2),K30)</f>
        <v>MANURE</v>
      </c>
      <c r="M30" s="26" t="str">
        <f>INDEX(Active!J:J, MATCH(Spearmans2!L30, Active!F:F,0),1)</f>
        <v>Mean Manure Application Rate</v>
      </c>
      <c r="N30" s="26" t="str">
        <f>INDEX(Active!B:B, MATCH(Spearmans2!L30, Active!F:F,0),1)</f>
        <v>Anthropogenic</v>
      </c>
      <c r="O30" s="26" t="str">
        <f>INDEX(Active!K:K, MATCH(Spearmans2!L30, Active!F:F,0),1)</f>
        <v>Mean rate of manure application to agricultural land from confined animal feeding operations in kg N/ha/yr, within AOI</v>
      </c>
      <c r="P30" s="52" t="s">
        <v>276</v>
      </c>
      <c r="Q30" s="26" t="s">
        <v>92</v>
      </c>
      <c r="R30" s="26" t="s">
        <v>277</v>
      </c>
      <c r="S30" s="27">
        <v>0.85548924333491405</v>
      </c>
    </row>
    <row r="31" spans="1:19" s="20" customFormat="1" x14ac:dyDescent="0.3">
      <c r="A31" s="33" t="s">
        <v>11</v>
      </c>
      <c r="B31" s="23" t="str">
        <f>IF(RIGHT(A31,2)="WS", LEFT(A31,LEN(A31)-2),A31)</f>
        <v>CBNF</v>
      </c>
      <c r="C31" s="23" t="str">
        <f>INDEX(Active!J:J, MATCH(Spearmans2!B31, Active!F:F,0),1)</f>
        <v>Cultivated Biological Nitrogen Fixation Mean Rate</v>
      </c>
      <c r="D31" s="23" t="str">
        <f>INDEX(Active!B:B, MATCH(Spearmans2!B31, Active!F:F,0),1)</f>
        <v>Anthropogenic</v>
      </c>
      <c r="E31" s="23" t="str">
        <f>INDEX(Active!D:D, MATCH(Spearmans2!B31, Active!F:F,0),1)</f>
        <v>Agriculture</v>
      </c>
      <c r="F31" s="23" t="str">
        <f>INDEX(Active!K:K, MATCH(Spearmans2!B31, Active!F:F,0),1)</f>
        <v>Mean rate of biological nitrogen fixation from the cultivation of crops in kg N/ha/yr, within AOI</v>
      </c>
      <c r="G31" s="33" t="s">
        <v>168</v>
      </c>
      <c r="H31" s="23" t="s">
        <v>92</v>
      </c>
      <c r="I31" s="23" t="s">
        <v>94</v>
      </c>
      <c r="J31" s="23" t="s">
        <v>169</v>
      </c>
      <c r="K31" s="56" t="s">
        <v>9</v>
      </c>
      <c r="L31" s="24" t="str">
        <f>IF(RIGHT(K31,2)="WS", LEFT(K31,LEN(K31)-2),K31)</f>
        <v>WATERINPUT</v>
      </c>
      <c r="M31" s="24" t="str">
        <f>INDEX(Active!J:J, MATCH(Spearmans2!L31, Active!F:F,0),1)</f>
        <v>Water Input</v>
      </c>
      <c r="N31" s="24" t="str">
        <f>INDEX(Active!B:B, MATCH(Spearmans2!L31, Active!F:F,0),1)</f>
        <v>Anthropogenic</v>
      </c>
      <c r="O31" s="24" t="str">
        <f>INDEX(Active!K:K, MATCH(Spearmans2!L31, Active!F:F,0),1)</f>
        <v>Water Input (km2/cm): Ratio of the total area of irrigated land to precipitation within AOI</v>
      </c>
      <c r="P31" s="34" t="s">
        <v>713</v>
      </c>
      <c r="Q31" s="24" t="s">
        <v>92</v>
      </c>
      <c r="R31" s="24" t="s">
        <v>714</v>
      </c>
      <c r="S31" s="28">
        <v>0.95567543929889631</v>
      </c>
    </row>
    <row r="32" spans="1:19" s="20" customFormat="1" x14ac:dyDescent="0.3">
      <c r="A32" s="33" t="s">
        <v>11</v>
      </c>
      <c r="B32" s="23" t="str">
        <f>IF(RIGHT(A32,2)="WS", LEFT(A32,LEN(A32)-2),A32)</f>
        <v>CBNF</v>
      </c>
      <c r="C32" s="23" t="str">
        <f>INDEX(Active!J:J, MATCH(Spearmans2!B32, Active!F:F,0),1)</f>
        <v>Cultivated Biological Nitrogen Fixation Mean Rate</v>
      </c>
      <c r="D32" s="23" t="str">
        <f>INDEX(Active!B:B, MATCH(Spearmans2!B32, Active!F:F,0),1)</f>
        <v>Anthropogenic</v>
      </c>
      <c r="E32" s="23" t="str">
        <f>INDEX(Active!D:D, MATCH(Spearmans2!B32, Active!F:F,0),1)</f>
        <v>Agriculture</v>
      </c>
      <c r="F32" s="23" t="str">
        <f>INDEX(Active!K:K, MATCH(Spearmans2!B32, Active!F:F,0),1)</f>
        <v>Mean rate of biological nitrogen fixation from the cultivation of crops in kg N/ha/yr, within AOI</v>
      </c>
      <c r="G32" s="33" t="s">
        <v>168</v>
      </c>
      <c r="H32" s="23" t="s">
        <v>92</v>
      </c>
      <c r="I32" s="23" t="s">
        <v>94</v>
      </c>
      <c r="J32" s="23" t="s">
        <v>169</v>
      </c>
      <c r="K32" s="56" t="s">
        <v>8</v>
      </c>
      <c r="L32" s="24" t="str">
        <f>IF(RIGHT(K32,2)="WS", LEFT(K32,LEN(K32)-2),K32)</f>
        <v>WDRW_LD</v>
      </c>
      <c r="M32" s="24" t="str">
        <f>INDEX(Active!J:J, MATCH(Spearmans2!L32, Active!F:F,0),1)</f>
        <v>Agricultural Fresh Surface-Water Withdraw</v>
      </c>
      <c r="N32" s="24" t="str">
        <f>INDEX(Active!B:B, MATCH(Spearmans2!L32, Active!F:F,0),1)</f>
        <v>Anthropogenic</v>
      </c>
      <c r="O32" s="24" t="str">
        <f>INDEX(Active!K:K, MATCH(Spearmans2!L32, Active!F:F,0),1)</f>
        <v>Total fresh surface-water withdrawals in agricultural land per AOI area (L/day)</v>
      </c>
      <c r="P32" s="34" t="s">
        <v>718</v>
      </c>
      <c r="Q32" s="24" t="s">
        <v>92</v>
      </c>
      <c r="R32" s="24" t="s">
        <v>719</v>
      </c>
      <c r="S32" s="28">
        <v>0.95656372272446355</v>
      </c>
    </row>
    <row r="33" spans="1:19" s="20" customFormat="1" x14ac:dyDescent="0.3">
      <c r="A33" s="33" t="s">
        <v>11</v>
      </c>
      <c r="B33" s="23" t="str">
        <f>IF(RIGHT(A33,2)="WS", LEFT(A33,LEN(A33)-2),A33)</f>
        <v>CBNF</v>
      </c>
      <c r="C33" s="23" t="str">
        <f>INDEX(Active!J:J, MATCH(Spearmans2!B33, Active!F:F,0),1)</f>
        <v>Cultivated Biological Nitrogen Fixation Mean Rate</v>
      </c>
      <c r="D33" s="23" t="str">
        <f>INDEX(Active!B:B, MATCH(Spearmans2!B33, Active!F:F,0),1)</f>
        <v>Anthropogenic</v>
      </c>
      <c r="E33" s="23" t="str">
        <f>INDEX(Active!D:D, MATCH(Spearmans2!B33, Active!F:F,0),1)</f>
        <v>Agriculture</v>
      </c>
      <c r="F33" s="23" t="str">
        <f>INDEX(Active!K:K, MATCH(Spearmans2!B33, Active!F:F,0),1)</f>
        <v>Mean rate of biological nitrogen fixation from the cultivation of crops in kg N/ha/yr, within AOI</v>
      </c>
      <c r="G33" s="33" t="s">
        <v>168</v>
      </c>
      <c r="H33" s="23" t="s">
        <v>92</v>
      </c>
      <c r="I33" s="23" t="s">
        <v>94</v>
      </c>
      <c r="J33" s="23" t="s">
        <v>169</v>
      </c>
      <c r="K33" s="56" t="s">
        <v>10</v>
      </c>
      <c r="L33" s="24" t="str">
        <f>IF(RIGHT(K33,2)="WS", LEFT(K33,LEN(K33)-2),K33)</f>
        <v>AGKFFACT</v>
      </c>
      <c r="M33" s="24" t="str">
        <f>INDEX(Active!J:J, MATCH(Spearmans2!L33, Active!F:F,0),1)</f>
        <v>Ag Soil Erodibility Kf Factor</v>
      </c>
      <c r="N33" s="24" t="str">
        <f>INDEX(Active!B:B, MATCH(Spearmans2!L33, Active!F:F,0),1)</f>
        <v>Anthropogenic</v>
      </c>
      <c r="O33" s="24" t="str">
        <f>INDEX(Active!K:K, MATCH(Spearmans2!L33,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3" s="34" t="s">
        <v>98</v>
      </c>
      <c r="Q33" s="24" t="s">
        <v>92</v>
      </c>
      <c r="R33" s="24" t="s">
        <v>99</v>
      </c>
      <c r="S33" s="28">
        <v>0.98132303117896547</v>
      </c>
    </row>
    <row r="34" spans="1:19" s="21" customFormat="1" x14ac:dyDescent="0.3">
      <c r="A34" s="38" t="s">
        <v>11</v>
      </c>
      <c r="B34" s="29" t="str">
        <f>IF(RIGHT(A34,2)="WS", LEFT(A34,LEN(A34)-2),A34)</f>
        <v>CBNF</v>
      </c>
      <c r="C34" s="29" t="str">
        <f>INDEX(Active!J:J, MATCH(Spearmans2!B34, Active!F:F,0),1)</f>
        <v>Cultivated Biological Nitrogen Fixation Mean Rate</v>
      </c>
      <c r="D34" s="29" t="str">
        <f>INDEX(Active!B:B, MATCH(Spearmans2!B34, Active!F:F,0),1)</f>
        <v>Anthropogenic</v>
      </c>
      <c r="E34" s="29" t="str">
        <f>INDEX(Active!D:D, MATCH(Spearmans2!B34, Active!F:F,0),1)</f>
        <v>Agriculture</v>
      </c>
      <c r="F34" s="29" t="str">
        <f>INDEX(Active!K:K, MATCH(Spearmans2!B34, Active!F:F,0),1)</f>
        <v>Mean rate of biological nitrogen fixation from the cultivation of crops in kg N/ha/yr, within AOI</v>
      </c>
      <c r="G34" s="38" t="s">
        <v>168</v>
      </c>
      <c r="H34" s="29" t="s">
        <v>92</v>
      </c>
      <c r="I34" s="29" t="s">
        <v>94</v>
      </c>
      <c r="J34" s="29" t="s">
        <v>169</v>
      </c>
      <c r="K34" s="57" t="s">
        <v>13</v>
      </c>
      <c r="L34" s="30" t="str">
        <f>IF(RIGHT(K34,2)="WS", LEFT(K34,LEN(K34)-2),K34)</f>
        <v>FERT</v>
      </c>
      <c r="M34" s="30" t="str">
        <f>INDEX(Active!J:J, MATCH(Spearmans2!L34, Active!F:F,0),1)</f>
        <v>Synthetic Nitrogen Fertilizer Application Mean Rate</v>
      </c>
      <c r="N34" s="30" t="str">
        <f>INDEX(Active!B:B, MATCH(Spearmans2!L34, Active!F:F,0),1)</f>
        <v>Anthropogenic</v>
      </c>
      <c r="O34" s="30" t="str">
        <f>INDEX(Active!K:K, MATCH(Spearmans2!L34, Active!F:F,0),1)</f>
        <v>Mean rate of synthetic nitrogen fertilizer application to agricultural land in kg N/ha/yr, within the AOI</v>
      </c>
      <c r="P34" s="53" t="s">
        <v>226</v>
      </c>
      <c r="Q34" s="30" t="s">
        <v>92</v>
      </c>
      <c r="R34" s="30" t="s">
        <v>227</v>
      </c>
      <c r="S34" s="31">
        <v>0.98647524710504131</v>
      </c>
    </row>
    <row r="35" spans="1:19" s="36" customFormat="1" x14ac:dyDescent="0.3">
      <c r="A35" s="39" t="s">
        <v>59</v>
      </c>
      <c r="B35" s="16" t="str">
        <f>IF(RIGHT(A35,2)="WS", LEFT(A35,LEN(A35)-2),A35)</f>
        <v>CLAY</v>
      </c>
      <c r="C35" s="16" t="str">
        <f>INDEX(Active!J:J, MATCH(Spearmans2!B35, Active!F:F,0),1)</f>
        <v>Clay Mean</v>
      </c>
      <c r="D35" s="16" t="str">
        <f>INDEX(Active!B:B, MATCH(Spearmans2!B35, Active!F:F,0),1)</f>
        <v>Natural</v>
      </c>
      <c r="E35" s="16" t="str">
        <f>INDEX(Active!D:D, MATCH(Spearmans2!B35, Active!F:F,0),1)</f>
        <v>Lithology</v>
      </c>
      <c r="F35" s="16" t="str">
        <f>INDEX(Active!K:K, MATCH(Spearmans2!B35, Active!F:F,0),1)</f>
        <v>Mean % clay content of soils (STATSGO) within AOI</v>
      </c>
      <c r="G35" s="39" t="s">
        <v>181</v>
      </c>
      <c r="H35" s="16" t="s">
        <v>103</v>
      </c>
      <c r="I35" s="16" t="s">
        <v>104</v>
      </c>
      <c r="J35" s="16" t="s">
        <v>182</v>
      </c>
      <c r="K35" s="58" t="s">
        <v>60</v>
      </c>
      <c r="L35" s="17" t="str">
        <f>IF(RIGHT(K35,2)="WS", LEFT(K35,LEN(K35)-2),K35)</f>
        <v>PERM</v>
      </c>
      <c r="M35" s="17" t="str">
        <f>INDEX(Active!J:J, MATCH(Spearmans2!L35, Active!F:F,0),1)</f>
        <v>Mean Permeability</v>
      </c>
      <c r="N35" s="17" t="str">
        <f>INDEX(Active!B:B, MATCH(Spearmans2!L35, Active!F:F,0),1)</f>
        <v>Natural</v>
      </c>
      <c r="O35" s="17" t="str">
        <f>INDEX(Active!K:K, MATCH(Spearmans2!L35, Active!F:F,0),1)</f>
        <v>Mean permeability (cm/hour) of soils (STATSGO) within AOI</v>
      </c>
      <c r="P35" s="45" t="s">
        <v>563</v>
      </c>
      <c r="Q35" s="17" t="s">
        <v>103</v>
      </c>
      <c r="R35" s="17" t="s">
        <v>564</v>
      </c>
      <c r="S35" s="18">
        <v>-0.81231022328100222</v>
      </c>
    </row>
    <row r="36" spans="1:19" s="36" customFormat="1" x14ac:dyDescent="0.3">
      <c r="A36" s="39" t="s">
        <v>45</v>
      </c>
      <c r="B36" s="16" t="str">
        <f>IF(RIGHT(A36,2)="WS", LEFT(A36,LEN(A36)-2),A36)</f>
        <v>CONN</v>
      </c>
      <c r="C36" s="16" t="str">
        <f>INDEX(Active!J:J, MATCH(Spearmans2!B36, Active!F:F,0),1)</f>
        <v>CONN</v>
      </c>
      <c r="D36" s="16" t="str">
        <f>INDEX(Active!B:B, MATCH(Spearmans2!B36, Active!F:F,0),1)</f>
        <v>Anthropogenic</v>
      </c>
      <c r="E36" s="16" t="str">
        <f>INDEX(Active!D:D, MATCH(Spearmans2!B36, Active!F:F,0),1)</f>
        <v>IWI</v>
      </c>
      <c r="F36" s="16" t="str">
        <f>INDEX(Active!K:K, MATCH(Spearmans2!B36, Active!F:F,0),1)</f>
        <v>Hydrologic connectivity component score calculated using AOI metrics</v>
      </c>
      <c r="G36" s="39" t="s">
        <v>198</v>
      </c>
      <c r="H36" s="16" t="s">
        <v>92</v>
      </c>
      <c r="I36" s="16" t="s">
        <v>76</v>
      </c>
      <c r="J36" s="16" t="s">
        <v>199</v>
      </c>
      <c r="K36" s="58" t="s">
        <v>46</v>
      </c>
      <c r="L36" s="17" t="str">
        <f>IF(RIGHT(K36,2)="WS", LEFT(K36,LEN(K36)-2),K36)</f>
        <v>TEMP</v>
      </c>
      <c r="M36" s="17" t="str">
        <f>INDEX(Active!J:J, MATCH(Spearmans2!L36, Active!F:F,0),1)</f>
        <v>TEMP</v>
      </c>
      <c r="N36" s="17" t="str">
        <f>INDEX(Active!B:B, MATCH(Spearmans2!L36, Active!F:F,0),1)</f>
        <v>Anthropogenic</v>
      </c>
      <c r="O36" s="17" t="str">
        <f>INDEX(Active!K:K, MATCH(Spearmans2!L36, Active!F:F,0),1)</f>
        <v>Temperature regulation component score calculated using AOI metrics</v>
      </c>
      <c r="P36" s="45" t="s">
        <v>675</v>
      </c>
      <c r="Q36" s="17" t="s">
        <v>92</v>
      </c>
      <c r="R36" s="17" t="s">
        <v>676</v>
      </c>
      <c r="S36" s="18">
        <v>0.95113691282455737</v>
      </c>
    </row>
    <row r="37" spans="1:19" s="19" customFormat="1" x14ac:dyDescent="0.3">
      <c r="A37" s="37" t="s">
        <v>41</v>
      </c>
      <c r="B37" s="25" t="str">
        <f>IF(RIGHT(A37,2)="WS", LEFT(A37,LEN(A37)-2),A37)</f>
        <v>DAMDENS</v>
      </c>
      <c r="C37" s="25" t="str">
        <f>INDEX(Active!J:J, MATCH(Spearmans2!B37, Active!F:F,0),1)</f>
        <v>Dam Density</v>
      </c>
      <c r="D37" s="25" t="str">
        <f>INDEX(Active!B:B, MATCH(Spearmans2!B37, Active!F:F,0),1)</f>
        <v>Anthropogenic</v>
      </c>
      <c r="E37" s="25" t="str">
        <f>INDEX(Active!D:D, MATCH(Spearmans2!B37, Active!F:F,0),1)</f>
        <v>Dams</v>
      </c>
      <c r="F37" s="25" t="str">
        <f>INDEX(Active!K:K, MATCH(Spearmans2!B37, Active!F:F,0),1)</f>
        <v>Density of georeferenced dams within AOI (dams/ square km)</v>
      </c>
      <c r="G37" s="37" t="s">
        <v>203</v>
      </c>
      <c r="H37" s="25" t="s">
        <v>92</v>
      </c>
      <c r="I37" s="25" t="s">
        <v>200</v>
      </c>
      <c r="J37" s="25" t="s">
        <v>204</v>
      </c>
      <c r="K37" s="55" t="s">
        <v>39</v>
      </c>
      <c r="L37" s="26" t="str">
        <f>IF(RIGHT(K37,2)="WS", LEFT(K37,LEN(K37)-2),K37)</f>
        <v>NABD_NRMSTOR</v>
      </c>
      <c r="M37" s="26" t="str">
        <f>INDEX(Active!J:J, MATCH(Spearmans2!L37, Active!F:F,0),1)</f>
        <v>NABD Normal Reservoir Volume</v>
      </c>
      <c r="N37" s="26" t="str">
        <f>INDEX(Active!B:B, MATCH(Spearmans2!L37, Active!F:F,0),1)</f>
        <v>Anthropogenic</v>
      </c>
      <c r="O37" s="26" t="str">
        <f>INDEX(Active!K:K, MATCH(Spearmans2!L37, Active!F:F,0),1)</f>
        <v>Volume all reservoirs (NORM_STORA in NID) per unit area of AOI (cubic meters/square km)</v>
      </c>
      <c r="P37" s="52" t="s">
        <v>319</v>
      </c>
      <c r="Q37" s="26" t="s">
        <v>92</v>
      </c>
      <c r="R37" s="26" t="s">
        <v>214</v>
      </c>
      <c r="S37" s="27">
        <v>0.81387384408594265</v>
      </c>
    </row>
    <row r="38" spans="1:19" s="20" customFormat="1" x14ac:dyDescent="0.3">
      <c r="A38" s="33" t="s">
        <v>41</v>
      </c>
      <c r="B38" s="23" t="str">
        <f>IF(RIGHT(A38,2)="WS", LEFT(A38,LEN(A38)-2),A38)</f>
        <v>DAMDENS</v>
      </c>
      <c r="C38" s="23" t="str">
        <f>INDEX(Active!J:J, MATCH(Spearmans2!B38, Active!F:F,0),1)</f>
        <v>Dam Density</v>
      </c>
      <c r="D38" s="23" t="str">
        <f>INDEX(Active!B:B, MATCH(Spearmans2!B38, Active!F:F,0),1)</f>
        <v>Anthropogenic</v>
      </c>
      <c r="E38" s="23" t="str">
        <f>INDEX(Active!D:D, MATCH(Spearmans2!B38, Active!F:F,0),1)</f>
        <v>Dams</v>
      </c>
      <c r="F38" s="23" t="str">
        <f>INDEX(Active!K:K, MATCH(Spearmans2!B38, Active!F:F,0),1)</f>
        <v>Density of georeferenced dams within AOI (dams/ square km)</v>
      </c>
      <c r="G38" s="33" t="s">
        <v>203</v>
      </c>
      <c r="H38" s="23" t="s">
        <v>92</v>
      </c>
      <c r="I38" s="23" t="s">
        <v>200</v>
      </c>
      <c r="J38" s="23" t="s">
        <v>204</v>
      </c>
      <c r="K38" s="56" t="s">
        <v>40</v>
      </c>
      <c r="L38" s="24" t="str">
        <f>IF(RIGHT(K38,2)="WS", LEFT(K38,LEN(K38)-2),K38)</f>
        <v>NABD_NIDSTOR</v>
      </c>
      <c r="M38" s="24" t="str">
        <f>INDEX(Active!J:J, MATCH(Spearmans2!L38, Active!F:F,0),1)</f>
        <v>NABD NID Reservoir Volume</v>
      </c>
      <c r="N38" s="24" t="str">
        <f>INDEX(Active!B:B, MATCH(Spearmans2!L38, Active!F:F,0),1)</f>
        <v>Anthropogenic</v>
      </c>
      <c r="O38" s="24" t="str">
        <f>INDEX(Active!K:K, MATCH(Spearmans2!L38, Active!F:F,0),1)</f>
        <v>Volume all reservoirs (NID_STORA in NID) per unit area of AOI (cubic meters/square km)</v>
      </c>
      <c r="P38" s="34" t="s">
        <v>316</v>
      </c>
      <c r="Q38" s="24" t="s">
        <v>92</v>
      </c>
      <c r="R38" s="24" t="s">
        <v>209</v>
      </c>
      <c r="S38" s="28">
        <v>0.81396897155859027</v>
      </c>
    </row>
    <row r="39" spans="1:19" s="20" customFormat="1" x14ac:dyDescent="0.3">
      <c r="A39" s="33" t="s">
        <v>41</v>
      </c>
      <c r="B39" s="23" t="str">
        <f>IF(RIGHT(A39,2)="WS", LEFT(A39,LEN(A39)-2),A39)</f>
        <v>DAMDENS</v>
      </c>
      <c r="C39" s="23" t="str">
        <f>INDEX(Active!J:J, MATCH(Spearmans2!B39, Active!F:F,0),1)</f>
        <v>Dam Density</v>
      </c>
      <c r="D39" s="23" t="str">
        <f>INDEX(Active!B:B, MATCH(Spearmans2!B39, Active!F:F,0),1)</f>
        <v>Anthropogenic</v>
      </c>
      <c r="E39" s="23" t="str">
        <f>INDEX(Active!D:D, MATCH(Spearmans2!B39, Active!F:F,0),1)</f>
        <v>Dams</v>
      </c>
      <c r="F39" s="23" t="str">
        <f>INDEX(Active!K:K, MATCH(Spearmans2!B39, Active!F:F,0),1)</f>
        <v>Density of georeferenced dams within AOI (dams/ square km)</v>
      </c>
      <c r="G39" s="33" t="s">
        <v>203</v>
      </c>
      <c r="H39" s="23" t="s">
        <v>92</v>
      </c>
      <c r="I39" s="23" t="s">
        <v>200</v>
      </c>
      <c r="J39" s="23" t="s">
        <v>204</v>
      </c>
      <c r="K39" s="56" t="s">
        <v>37</v>
      </c>
      <c r="L39" s="24" t="str">
        <f>IF(RIGHT(K39,2)="WS", LEFT(K39,LEN(K39)-2),K39)</f>
        <v>NABD_DENS</v>
      </c>
      <c r="M39" s="24" t="str">
        <f>INDEX(Active!J:J, MATCH(Spearmans2!L39, Active!F:F,0),1)</f>
        <v>NABD Dam Density</v>
      </c>
      <c r="N39" s="24" t="str">
        <f>INDEX(Active!B:B, MATCH(Spearmans2!L39, Active!F:F,0),1)</f>
        <v>Anthropogenic</v>
      </c>
      <c r="O39" s="24" t="str">
        <f>INDEX(Active!K:K, MATCH(Spearmans2!L39, Active!F:F,0),1)</f>
        <v>Density of georeferenced dams within AOI (dams/ square km)</v>
      </c>
      <c r="P39" s="34" t="s">
        <v>313</v>
      </c>
      <c r="Q39" s="24" t="s">
        <v>92</v>
      </c>
      <c r="R39" s="24" t="s">
        <v>204</v>
      </c>
      <c r="S39" s="28">
        <v>0.816520055440909</v>
      </c>
    </row>
    <row r="40" spans="1:19" s="20" customFormat="1" x14ac:dyDescent="0.3">
      <c r="A40" s="33" t="s">
        <v>41</v>
      </c>
      <c r="B40" s="23" t="str">
        <f>IF(RIGHT(A40,2)="WS", LEFT(A40,LEN(A40)-2),A40)</f>
        <v>DAMDENS</v>
      </c>
      <c r="C40" s="23" t="str">
        <f>INDEX(Active!J:J, MATCH(Spearmans2!B40, Active!F:F,0),1)</f>
        <v>Dam Density</v>
      </c>
      <c r="D40" s="23" t="str">
        <f>INDEX(Active!B:B, MATCH(Spearmans2!B40, Active!F:F,0),1)</f>
        <v>Anthropogenic</v>
      </c>
      <c r="E40" s="23" t="str">
        <f>INDEX(Active!D:D, MATCH(Spearmans2!B40, Active!F:F,0),1)</f>
        <v>Dams</v>
      </c>
      <c r="F40" s="23" t="str">
        <f>INDEX(Active!K:K, MATCH(Spearmans2!B40, Active!F:F,0),1)</f>
        <v>Density of georeferenced dams within AOI (dams/ square km)</v>
      </c>
      <c r="G40" s="33" t="s">
        <v>203</v>
      </c>
      <c r="H40" s="23" t="s">
        <v>92</v>
      </c>
      <c r="I40" s="23" t="s">
        <v>200</v>
      </c>
      <c r="J40" s="23" t="s">
        <v>204</v>
      </c>
      <c r="K40" s="56" t="s">
        <v>42</v>
      </c>
      <c r="L40" s="24" t="str">
        <f>IF(RIGHT(K40,2)="WS", LEFT(K40,LEN(K40)-2),K40)</f>
        <v>DAMNIDSTOR</v>
      </c>
      <c r="M40" s="24" t="str">
        <f>INDEX(Active!J:J, MATCH(Spearmans2!L40, Active!F:F,0),1)</f>
        <v>Dam Resevoir NID Volume</v>
      </c>
      <c r="N40" s="24" t="str">
        <f>INDEX(Active!B:B, MATCH(Spearmans2!L40, Active!F:F,0),1)</f>
        <v>Anthropogenic</v>
      </c>
      <c r="O40" s="24" t="str">
        <f>INDEX(Active!K:K, MATCH(Spearmans2!L40, Active!F:F,0),1)</f>
        <v>Volume all reservoirs (NID_STORA in NID) per unit area of AOI (cubic meters/square km)</v>
      </c>
      <c r="P40" s="34" t="s">
        <v>208</v>
      </c>
      <c r="Q40" s="24" t="s">
        <v>92</v>
      </c>
      <c r="R40" s="24" t="s">
        <v>209</v>
      </c>
      <c r="S40" s="28">
        <v>0.99131062240539269</v>
      </c>
    </row>
    <row r="41" spans="1:19" s="21" customFormat="1" x14ac:dyDescent="0.3">
      <c r="A41" s="38" t="s">
        <v>41</v>
      </c>
      <c r="B41" s="29" t="str">
        <f>IF(RIGHT(A41,2)="WS", LEFT(A41,LEN(A41)-2),A41)</f>
        <v>DAMDENS</v>
      </c>
      <c r="C41" s="29" t="str">
        <f>INDEX(Active!J:J, MATCH(Spearmans2!B41, Active!F:F,0),1)</f>
        <v>Dam Density</v>
      </c>
      <c r="D41" s="29" t="str">
        <f>INDEX(Active!B:B, MATCH(Spearmans2!B41, Active!F:F,0),1)</f>
        <v>Anthropogenic</v>
      </c>
      <c r="E41" s="29" t="str">
        <f>INDEX(Active!D:D, MATCH(Spearmans2!B41, Active!F:F,0),1)</f>
        <v>Dams</v>
      </c>
      <c r="F41" s="29" t="str">
        <f>INDEX(Active!K:K, MATCH(Spearmans2!B41, Active!F:F,0),1)</f>
        <v>Density of georeferenced dams within AOI (dams/ square km)</v>
      </c>
      <c r="G41" s="38" t="s">
        <v>203</v>
      </c>
      <c r="H41" s="29" t="s">
        <v>92</v>
      </c>
      <c r="I41" s="29" t="s">
        <v>200</v>
      </c>
      <c r="J41" s="29" t="s">
        <v>204</v>
      </c>
      <c r="K41" s="57" t="s">
        <v>38</v>
      </c>
      <c r="L41" s="30" t="str">
        <f>IF(RIGHT(K41,2)="WS", LEFT(K41,LEN(K41)-2),K41)</f>
        <v>DAMNRMSTOR</v>
      </c>
      <c r="M41" s="30" t="str">
        <f>INDEX(Active!J:J, MATCH(Spearmans2!L41, Active!F:F,0),1)</f>
        <v>Dam Resevoir Normal Volume</v>
      </c>
      <c r="N41" s="30" t="str">
        <f>INDEX(Active!B:B, MATCH(Spearmans2!L41, Active!F:F,0),1)</f>
        <v>Anthropogenic</v>
      </c>
      <c r="O41" s="30" t="str">
        <f>INDEX(Active!K:K, MATCH(Spearmans2!L41, Active!F:F,0),1)</f>
        <v>Volume all reservoirs (NORM_STORA in NID) per unit area of AOI (cubic meters/square km)</v>
      </c>
      <c r="P41" s="53" t="s">
        <v>213</v>
      </c>
      <c r="Q41" s="30" t="s">
        <v>92</v>
      </c>
      <c r="R41" s="30" t="s">
        <v>214</v>
      </c>
      <c r="S41" s="31">
        <v>0.99137967327298537</v>
      </c>
    </row>
    <row r="42" spans="1:19" s="19" customFormat="1" x14ac:dyDescent="0.3">
      <c r="A42" s="37" t="s">
        <v>42</v>
      </c>
      <c r="B42" s="25" t="str">
        <f>IF(RIGHT(A42,2)="WS", LEFT(A42,LEN(A42)-2),A42)</f>
        <v>DAMNIDSTOR</v>
      </c>
      <c r="C42" s="25" t="str">
        <f>INDEX(Active!J:J, MATCH(Spearmans2!B42, Active!F:F,0),1)</f>
        <v>Dam Resevoir NID Volume</v>
      </c>
      <c r="D42" s="25" t="str">
        <f>INDEX(Active!B:B, MATCH(Spearmans2!B42, Active!F:F,0),1)</f>
        <v>Anthropogenic</v>
      </c>
      <c r="E42" s="25" t="str">
        <f>INDEX(Active!D:D, MATCH(Spearmans2!B42, Active!F:F,0),1)</f>
        <v>Dams</v>
      </c>
      <c r="F42" s="25" t="str">
        <f>INDEX(Active!K:K, MATCH(Spearmans2!B42, Active!F:F,0),1)</f>
        <v>Volume all reservoirs (NID_STORA in NID) per unit area of AOI (cubic meters/square km)</v>
      </c>
      <c r="G42" s="37" t="s">
        <v>208</v>
      </c>
      <c r="H42" s="25" t="s">
        <v>92</v>
      </c>
      <c r="I42" s="25" t="s">
        <v>200</v>
      </c>
      <c r="J42" s="25" t="s">
        <v>209</v>
      </c>
      <c r="K42" s="55" t="s">
        <v>37</v>
      </c>
      <c r="L42" s="26" t="str">
        <f>IF(RIGHT(K42,2)="WS", LEFT(K42,LEN(K42)-2),K42)</f>
        <v>NABD_DENS</v>
      </c>
      <c r="M42" s="26" t="str">
        <f>INDEX(Active!J:J, MATCH(Spearmans2!L42, Active!F:F,0),1)</f>
        <v>NABD Dam Density</v>
      </c>
      <c r="N42" s="26" t="str">
        <f>INDEX(Active!B:B, MATCH(Spearmans2!L42, Active!F:F,0),1)</f>
        <v>Anthropogenic</v>
      </c>
      <c r="O42" s="26" t="str">
        <f>INDEX(Active!K:K, MATCH(Spearmans2!L42, Active!F:F,0),1)</f>
        <v>Density of georeferenced dams within AOI (dams/ square km)</v>
      </c>
      <c r="P42" s="52" t="s">
        <v>313</v>
      </c>
      <c r="Q42" s="26" t="s">
        <v>92</v>
      </c>
      <c r="R42" s="26" t="s">
        <v>204</v>
      </c>
      <c r="S42" s="27">
        <v>0.83205065776449894</v>
      </c>
    </row>
    <row r="43" spans="1:19" s="20" customFormat="1" x14ac:dyDescent="0.3">
      <c r="A43" s="33" t="s">
        <v>42</v>
      </c>
      <c r="B43" s="23" t="str">
        <f>IF(RIGHT(A43,2)="WS", LEFT(A43,LEN(A43)-2),A43)</f>
        <v>DAMNIDSTOR</v>
      </c>
      <c r="C43" s="23" t="str">
        <f>INDEX(Active!J:J, MATCH(Spearmans2!B43, Active!F:F,0),1)</f>
        <v>Dam Resevoir NID Volume</v>
      </c>
      <c r="D43" s="23" t="str">
        <f>INDEX(Active!B:B, MATCH(Spearmans2!B43, Active!F:F,0),1)</f>
        <v>Anthropogenic</v>
      </c>
      <c r="E43" s="23" t="str">
        <f>INDEX(Active!D:D, MATCH(Spearmans2!B43, Active!F:F,0),1)</f>
        <v>Dams</v>
      </c>
      <c r="F43" s="23" t="str">
        <f>INDEX(Active!K:K, MATCH(Spearmans2!B43, Active!F:F,0),1)</f>
        <v>Volume all reservoirs (NID_STORA in NID) per unit area of AOI (cubic meters/square km)</v>
      </c>
      <c r="G43" s="33" t="s">
        <v>208</v>
      </c>
      <c r="H43" s="23" t="s">
        <v>92</v>
      </c>
      <c r="I43" s="23" t="s">
        <v>200</v>
      </c>
      <c r="J43" s="23" t="s">
        <v>209</v>
      </c>
      <c r="K43" s="56" t="s">
        <v>39</v>
      </c>
      <c r="L43" s="24" t="str">
        <f>IF(RIGHT(K43,2)="WS", LEFT(K43,LEN(K43)-2),K43)</f>
        <v>NABD_NRMSTOR</v>
      </c>
      <c r="M43" s="24" t="str">
        <f>INDEX(Active!J:J, MATCH(Spearmans2!L43, Active!F:F,0),1)</f>
        <v>NABD Normal Reservoir Volume</v>
      </c>
      <c r="N43" s="24" t="str">
        <f>INDEX(Active!B:B, MATCH(Spearmans2!L43, Active!F:F,0),1)</f>
        <v>Anthropogenic</v>
      </c>
      <c r="O43" s="24" t="str">
        <f>INDEX(Active!K:K, MATCH(Spearmans2!L43, Active!F:F,0),1)</f>
        <v>Volume all reservoirs (NORM_STORA in NID) per unit area of AOI (cubic meters/square km)</v>
      </c>
      <c r="P43" s="34" t="s">
        <v>319</v>
      </c>
      <c r="Q43" s="24" t="s">
        <v>92</v>
      </c>
      <c r="R43" s="24" t="s">
        <v>214</v>
      </c>
      <c r="S43" s="28">
        <v>0.83749827211065153</v>
      </c>
    </row>
    <row r="44" spans="1:19" s="20" customFormat="1" x14ac:dyDescent="0.3">
      <c r="A44" s="33" t="s">
        <v>42</v>
      </c>
      <c r="B44" s="23" t="str">
        <f>IF(RIGHT(A44,2)="WS", LEFT(A44,LEN(A44)-2),A44)</f>
        <v>DAMNIDSTOR</v>
      </c>
      <c r="C44" s="23" t="str">
        <f>INDEX(Active!J:J, MATCH(Spearmans2!B44, Active!F:F,0),1)</f>
        <v>Dam Resevoir NID Volume</v>
      </c>
      <c r="D44" s="23" t="str">
        <f>INDEX(Active!B:B, MATCH(Spearmans2!B44, Active!F:F,0),1)</f>
        <v>Anthropogenic</v>
      </c>
      <c r="E44" s="23" t="str">
        <f>INDEX(Active!D:D, MATCH(Spearmans2!B44, Active!F:F,0),1)</f>
        <v>Dams</v>
      </c>
      <c r="F44" s="23" t="str">
        <f>INDEX(Active!K:K, MATCH(Spearmans2!B44, Active!F:F,0),1)</f>
        <v>Volume all reservoirs (NID_STORA in NID) per unit area of AOI (cubic meters/square km)</v>
      </c>
      <c r="G44" s="33" t="s">
        <v>208</v>
      </c>
      <c r="H44" s="23" t="s">
        <v>92</v>
      </c>
      <c r="I44" s="23" t="s">
        <v>200</v>
      </c>
      <c r="J44" s="23" t="s">
        <v>209</v>
      </c>
      <c r="K44" s="56" t="s">
        <v>40</v>
      </c>
      <c r="L44" s="24" t="str">
        <f>IF(RIGHT(K44,2)="WS", LEFT(K44,LEN(K44)-2),K44)</f>
        <v>NABD_NIDSTOR</v>
      </c>
      <c r="M44" s="24" t="str">
        <f>INDEX(Active!J:J, MATCH(Spearmans2!L44, Active!F:F,0),1)</f>
        <v>NABD NID Reservoir Volume</v>
      </c>
      <c r="N44" s="24" t="str">
        <f>INDEX(Active!B:B, MATCH(Spearmans2!L44, Active!F:F,0),1)</f>
        <v>Anthropogenic</v>
      </c>
      <c r="O44" s="24" t="str">
        <f>INDEX(Active!K:K, MATCH(Spearmans2!L44, Active!F:F,0),1)</f>
        <v>Volume all reservoirs (NID_STORA in NID) per unit area of AOI (cubic meters/square km)</v>
      </c>
      <c r="P44" s="34" t="s">
        <v>316</v>
      </c>
      <c r="Q44" s="24" t="s">
        <v>92</v>
      </c>
      <c r="R44" s="24" t="s">
        <v>209</v>
      </c>
      <c r="S44" s="28">
        <v>0.83761359741994712</v>
      </c>
    </row>
    <row r="45" spans="1:19" s="20" customFormat="1" x14ac:dyDescent="0.3">
      <c r="A45" s="33" t="s">
        <v>42</v>
      </c>
      <c r="B45" s="23" t="str">
        <f>IF(RIGHT(A45,2)="WS", LEFT(A45,LEN(A45)-2),A45)</f>
        <v>DAMNIDSTOR</v>
      </c>
      <c r="C45" s="23" t="str">
        <f>INDEX(Active!J:J, MATCH(Spearmans2!B45, Active!F:F,0),1)</f>
        <v>Dam Resevoir NID Volume</v>
      </c>
      <c r="D45" s="23" t="str">
        <f>INDEX(Active!B:B, MATCH(Spearmans2!B45, Active!F:F,0),1)</f>
        <v>Anthropogenic</v>
      </c>
      <c r="E45" s="23" t="str">
        <f>INDEX(Active!D:D, MATCH(Spearmans2!B45, Active!F:F,0),1)</f>
        <v>Dams</v>
      </c>
      <c r="F45" s="23" t="str">
        <f>INDEX(Active!K:K, MATCH(Spearmans2!B45, Active!F:F,0),1)</f>
        <v>Volume all reservoirs (NID_STORA in NID) per unit area of AOI (cubic meters/square km)</v>
      </c>
      <c r="G45" s="33" t="s">
        <v>208</v>
      </c>
      <c r="H45" s="23" t="s">
        <v>92</v>
      </c>
      <c r="I45" s="23" t="s">
        <v>200</v>
      </c>
      <c r="J45" s="23" t="s">
        <v>209</v>
      </c>
      <c r="K45" s="56" t="s">
        <v>41</v>
      </c>
      <c r="L45" s="24" t="str">
        <f>IF(RIGHT(K45,2)="WS", LEFT(K45,LEN(K45)-2),K45)</f>
        <v>DAMDENS</v>
      </c>
      <c r="M45" s="24" t="str">
        <f>INDEX(Active!J:J, MATCH(Spearmans2!L45, Active!F:F,0),1)</f>
        <v>Dam Density</v>
      </c>
      <c r="N45" s="24" t="str">
        <f>INDEX(Active!B:B, MATCH(Spearmans2!L45, Active!F:F,0),1)</f>
        <v>Anthropogenic</v>
      </c>
      <c r="O45" s="24" t="str">
        <f>INDEX(Active!K:K, MATCH(Spearmans2!L45, Active!F:F,0),1)</f>
        <v>Density of georeferenced dams within AOI (dams/ square km)</v>
      </c>
      <c r="P45" s="34" t="s">
        <v>203</v>
      </c>
      <c r="Q45" s="24" t="s">
        <v>92</v>
      </c>
      <c r="R45" s="24" t="s">
        <v>204</v>
      </c>
      <c r="S45" s="28">
        <v>0.99131062240539269</v>
      </c>
    </row>
    <row r="46" spans="1:19" s="21" customFormat="1" x14ac:dyDescent="0.3">
      <c r="A46" s="38" t="s">
        <v>42</v>
      </c>
      <c r="B46" s="29" t="str">
        <f>IF(RIGHT(A46,2)="WS", LEFT(A46,LEN(A46)-2),A46)</f>
        <v>DAMNIDSTOR</v>
      </c>
      <c r="C46" s="29" t="str">
        <f>INDEX(Active!J:J, MATCH(Spearmans2!B46, Active!F:F,0),1)</f>
        <v>Dam Resevoir NID Volume</v>
      </c>
      <c r="D46" s="29" t="str">
        <f>INDEX(Active!B:B, MATCH(Spearmans2!B46, Active!F:F,0),1)</f>
        <v>Anthropogenic</v>
      </c>
      <c r="E46" s="29" t="str">
        <f>INDEX(Active!D:D, MATCH(Spearmans2!B46, Active!F:F,0),1)</f>
        <v>Dams</v>
      </c>
      <c r="F46" s="29" t="str">
        <f>INDEX(Active!K:K, MATCH(Spearmans2!B46, Active!F:F,0),1)</f>
        <v>Volume all reservoirs (NID_STORA in NID) per unit area of AOI (cubic meters/square km)</v>
      </c>
      <c r="G46" s="38" t="s">
        <v>208</v>
      </c>
      <c r="H46" s="29" t="s">
        <v>92</v>
      </c>
      <c r="I46" s="29" t="s">
        <v>200</v>
      </c>
      <c r="J46" s="29" t="s">
        <v>209</v>
      </c>
      <c r="K46" s="57" t="s">
        <v>38</v>
      </c>
      <c r="L46" s="30" t="str">
        <f>IF(RIGHT(K46,2)="WS", LEFT(K46,LEN(K46)-2),K46)</f>
        <v>DAMNRMSTOR</v>
      </c>
      <c r="M46" s="30" t="str">
        <f>INDEX(Active!J:J, MATCH(Spearmans2!L46, Active!F:F,0),1)</f>
        <v>Dam Resevoir Normal Volume</v>
      </c>
      <c r="N46" s="30" t="str">
        <f>INDEX(Active!B:B, MATCH(Spearmans2!L46, Active!F:F,0),1)</f>
        <v>Anthropogenic</v>
      </c>
      <c r="O46" s="30" t="str">
        <f>INDEX(Active!K:K, MATCH(Spearmans2!L46, Active!F:F,0),1)</f>
        <v>Volume all reservoirs (NORM_STORA in NID) per unit area of AOI (cubic meters/square km)</v>
      </c>
      <c r="P46" s="53" t="s">
        <v>213</v>
      </c>
      <c r="Q46" s="30" t="s">
        <v>92</v>
      </c>
      <c r="R46" s="30" t="s">
        <v>214</v>
      </c>
      <c r="S46" s="31">
        <v>0.99992000452710705</v>
      </c>
    </row>
    <row r="47" spans="1:19" s="19" customFormat="1" x14ac:dyDescent="0.3">
      <c r="A47" s="37" t="s">
        <v>38</v>
      </c>
      <c r="B47" s="25" t="str">
        <f>IF(RIGHT(A47,2)="WS", LEFT(A47,LEN(A47)-2),A47)</f>
        <v>DAMNRMSTOR</v>
      </c>
      <c r="C47" s="25" t="str">
        <f>INDEX(Active!J:J, MATCH(Spearmans2!B47, Active!F:F,0),1)</f>
        <v>Dam Resevoir Normal Volume</v>
      </c>
      <c r="D47" s="25" t="str">
        <f>INDEX(Active!B:B, MATCH(Spearmans2!B47, Active!F:F,0),1)</f>
        <v>Anthropogenic</v>
      </c>
      <c r="E47" s="25" t="str">
        <f>INDEX(Active!D:D, MATCH(Spearmans2!B47, Active!F:F,0),1)</f>
        <v>Dams</v>
      </c>
      <c r="F47" s="25" t="str">
        <f>INDEX(Active!K:K, MATCH(Spearmans2!B47, Active!F:F,0),1)</f>
        <v>Volume all reservoirs (NORM_STORA in NID) per unit area of AOI (cubic meters/square km)</v>
      </c>
      <c r="G47" s="37" t="s">
        <v>213</v>
      </c>
      <c r="H47" s="25" t="s">
        <v>92</v>
      </c>
      <c r="I47" s="25" t="s">
        <v>200</v>
      </c>
      <c r="J47" s="25" t="s">
        <v>214</v>
      </c>
      <c r="K47" s="55" t="s">
        <v>37</v>
      </c>
      <c r="L47" s="26" t="str">
        <f>IF(RIGHT(K47,2)="WS", LEFT(K47,LEN(K47)-2),K47)</f>
        <v>NABD_DENS</v>
      </c>
      <c r="M47" s="26" t="str">
        <f>INDEX(Active!J:J, MATCH(Spearmans2!L47, Active!F:F,0),1)</f>
        <v>NABD Dam Density</v>
      </c>
      <c r="N47" s="26" t="str">
        <f>INDEX(Active!B:B, MATCH(Spearmans2!L47, Active!F:F,0),1)</f>
        <v>Anthropogenic</v>
      </c>
      <c r="O47" s="26" t="str">
        <f>INDEX(Active!K:K, MATCH(Spearmans2!L47, Active!F:F,0),1)</f>
        <v>Density of georeferenced dams within AOI (dams/ square km)</v>
      </c>
      <c r="P47" s="52" t="s">
        <v>313</v>
      </c>
      <c r="Q47" s="26" t="s">
        <v>92</v>
      </c>
      <c r="R47" s="26" t="s">
        <v>204</v>
      </c>
      <c r="S47" s="27">
        <v>0.83120073402337591</v>
      </c>
    </row>
    <row r="48" spans="1:19" s="20" customFormat="1" x14ac:dyDescent="0.3">
      <c r="A48" s="33" t="s">
        <v>38</v>
      </c>
      <c r="B48" s="23" t="str">
        <f>IF(RIGHT(A48,2)="WS", LEFT(A48,LEN(A48)-2),A48)</f>
        <v>DAMNRMSTOR</v>
      </c>
      <c r="C48" s="23" t="str">
        <f>INDEX(Active!J:J, MATCH(Spearmans2!B48, Active!F:F,0),1)</f>
        <v>Dam Resevoir Normal Volume</v>
      </c>
      <c r="D48" s="23" t="str">
        <f>INDEX(Active!B:B, MATCH(Spearmans2!B48, Active!F:F,0),1)</f>
        <v>Anthropogenic</v>
      </c>
      <c r="E48" s="23" t="str">
        <f>INDEX(Active!D:D, MATCH(Spearmans2!B48, Active!F:F,0),1)</f>
        <v>Dams</v>
      </c>
      <c r="F48" s="23" t="str">
        <f>INDEX(Active!K:K, MATCH(Spearmans2!B48, Active!F:F,0),1)</f>
        <v>Volume all reservoirs (NORM_STORA in NID) per unit area of AOI (cubic meters/square km)</v>
      </c>
      <c r="G48" s="33" t="s">
        <v>213</v>
      </c>
      <c r="H48" s="23" t="s">
        <v>92</v>
      </c>
      <c r="I48" s="23" t="s">
        <v>200</v>
      </c>
      <c r="J48" s="23" t="s">
        <v>214</v>
      </c>
      <c r="K48" s="56" t="s">
        <v>39</v>
      </c>
      <c r="L48" s="24" t="str">
        <f>IF(RIGHT(K48,2)="WS", LEFT(K48,LEN(K48)-2),K48)</f>
        <v>NABD_NRMSTOR</v>
      </c>
      <c r="M48" s="24" t="str">
        <f>INDEX(Active!J:J, MATCH(Spearmans2!L48, Active!F:F,0),1)</f>
        <v>NABD Normal Reservoir Volume</v>
      </c>
      <c r="N48" s="24" t="str">
        <f>INDEX(Active!B:B, MATCH(Spearmans2!L48, Active!F:F,0),1)</f>
        <v>Anthropogenic</v>
      </c>
      <c r="O48" s="24" t="str">
        <f>INDEX(Active!K:K, MATCH(Spearmans2!L48, Active!F:F,0),1)</f>
        <v>Volume all reservoirs (NORM_STORA in NID) per unit area of AOI (cubic meters/square km)</v>
      </c>
      <c r="P48" s="34" t="s">
        <v>319</v>
      </c>
      <c r="Q48" s="24" t="s">
        <v>92</v>
      </c>
      <c r="R48" s="24" t="s">
        <v>214</v>
      </c>
      <c r="S48" s="28">
        <v>0.83654005242440654</v>
      </c>
    </row>
    <row r="49" spans="1:19" s="20" customFormat="1" x14ac:dyDescent="0.3">
      <c r="A49" s="33" t="s">
        <v>38</v>
      </c>
      <c r="B49" s="23" t="str">
        <f>IF(RIGHT(A49,2)="WS", LEFT(A49,LEN(A49)-2),A49)</f>
        <v>DAMNRMSTOR</v>
      </c>
      <c r="C49" s="23" t="str">
        <f>INDEX(Active!J:J, MATCH(Spearmans2!B49, Active!F:F,0),1)</f>
        <v>Dam Resevoir Normal Volume</v>
      </c>
      <c r="D49" s="23" t="str">
        <f>INDEX(Active!B:B, MATCH(Spearmans2!B49, Active!F:F,0),1)</f>
        <v>Anthropogenic</v>
      </c>
      <c r="E49" s="23" t="str">
        <f>INDEX(Active!D:D, MATCH(Spearmans2!B49, Active!F:F,0),1)</f>
        <v>Dams</v>
      </c>
      <c r="F49" s="23" t="str">
        <f>INDEX(Active!K:K, MATCH(Spearmans2!B49, Active!F:F,0),1)</f>
        <v>Volume all reservoirs (NORM_STORA in NID) per unit area of AOI (cubic meters/square km)</v>
      </c>
      <c r="G49" s="33" t="s">
        <v>213</v>
      </c>
      <c r="H49" s="23" t="s">
        <v>92</v>
      </c>
      <c r="I49" s="23" t="s">
        <v>200</v>
      </c>
      <c r="J49" s="23" t="s">
        <v>214</v>
      </c>
      <c r="K49" s="56" t="s">
        <v>40</v>
      </c>
      <c r="L49" s="24" t="str">
        <f>IF(RIGHT(K49,2)="WS", LEFT(K49,LEN(K49)-2),K49)</f>
        <v>NABD_NIDSTOR</v>
      </c>
      <c r="M49" s="24" t="str">
        <f>INDEX(Active!J:J, MATCH(Spearmans2!L49, Active!F:F,0),1)</f>
        <v>NABD NID Reservoir Volume</v>
      </c>
      <c r="N49" s="24" t="str">
        <f>INDEX(Active!B:B, MATCH(Spearmans2!L49, Active!F:F,0),1)</f>
        <v>Anthropogenic</v>
      </c>
      <c r="O49" s="24" t="str">
        <f>INDEX(Active!K:K, MATCH(Spearmans2!L49, Active!F:F,0),1)</f>
        <v>Volume all reservoirs (NID_STORA in NID) per unit area of AOI (cubic meters/square km)</v>
      </c>
      <c r="P49" s="34" t="s">
        <v>316</v>
      </c>
      <c r="Q49" s="24" t="s">
        <v>92</v>
      </c>
      <c r="R49" s="24" t="s">
        <v>209</v>
      </c>
      <c r="S49" s="28">
        <v>0.83658703269374379</v>
      </c>
    </row>
    <row r="50" spans="1:19" s="20" customFormat="1" x14ac:dyDescent="0.3">
      <c r="A50" s="33" t="s">
        <v>38</v>
      </c>
      <c r="B50" s="23" t="str">
        <f>IF(RIGHT(A50,2)="WS", LEFT(A50,LEN(A50)-2),A50)</f>
        <v>DAMNRMSTOR</v>
      </c>
      <c r="C50" s="23" t="str">
        <f>INDEX(Active!J:J, MATCH(Spearmans2!B50, Active!F:F,0),1)</f>
        <v>Dam Resevoir Normal Volume</v>
      </c>
      <c r="D50" s="23" t="str">
        <f>INDEX(Active!B:B, MATCH(Spearmans2!B50, Active!F:F,0),1)</f>
        <v>Anthropogenic</v>
      </c>
      <c r="E50" s="23" t="str">
        <f>INDEX(Active!D:D, MATCH(Spearmans2!B50, Active!F:F,0),1)</f>
        <v>Dams</v>
      </c>
      <c r="F50" s="23" t="str">
        <f>INDEX(Active!K:K, MATCH(Spearmans2!B50, Active!F:F,0),1)</f>
        <v>Volume all reservoirs (NORM_STORA in NID) per unit area of AOI (cubic meters/square km)</v>
      </c>
      <c r="G50" s="33" t="s">
        <v>213</v>
      </c>
      <c r="H50" s="23" t="s">
        <v>92</v>
      </c>
      <c r="I50" s="23" t="s">
        <v>200</v>
      </c>
      <c r="J50" s="23" t="s">
        <v>214</v>
      </c>
      <c r="K50" s="56" t="s">
        <v>41</v>
      </c>
      <c r="L50" s="24" t="str">
        <f>IF(RIGHT(K50,2)="WS", LEFT(K50,LEN(K50)-2),K50)</f>
        <v>DAMDENS</v>
      </c>
      <c r="M50" s="24" t="str">
        <f>INDEX(Active!J:J, MATCH(Spearmans2!L50, Active!F:F,0),1)</f>
        <v>Dam Density</v>
      </c>
      <c r="N50" s="24" t="str">
        <f>INDEX(Active!B:B, MATCH(Spearmans2!L50, Active!F:F,0),1)</f>
        <v>Anthropogenic</v>
      </c>
      <c r="O50" s="24" t="str">
        <f>INDEX(Active!K:K, MATCH(Spearmans2!L50, Active!F:F,0),1)</f>
        <v>Density of georeferenced dams within AOI (dams/ square km)</v>
      </c>
      <c r="P50" s="34" t="s">
        <v>203</v>
      </c>
      <c r="Q50" s="24" t="s">
        <v>92</v>
      </c>
      <c r="R50" s="24" t="s">
        <v>204</v>
      </c>
      <c r="S50" s="28">
        <v>0.99137967327298537</v>
      </c>
    </row>
    <row r="51" spans="1:19" s="21" customFormat="1" x14ac:dyDescent="0.3">
      <c r="A51" s="38" t="s">
        <v>38</v>
      </c>
      <c r="B51" s="29" t="str">
        <f>IF(RIGHT(A51,2)="WS", LEFT(A51,LEN(A51)-2),A51)</f>
        <v>DAMNRMSTOR</v>
      </c>
      <c r="C51" s="29" t="str">
        <f>INDEX(Active!J:J, MATCH(Spearmans2!B51, Active!F:F,0),1)</f>
        <v>Dam Resevoir Normal Volume</v>
      </c>
      <c r="D51" s="29" t="str">
        <f>INDEX(Active!B:B, MATCH(Spearmans2!B51, Active!F:F,0),1)</f>
        <v>Anthropogenic</v>
      </c>
      <c r="E51" s="29" t="str">
        <f>INDEX(Active!D:D, MATCH(Spearmans2!B51, Active!F:F,0),1)</f>
        <v>Dams</v>
      </c>
      <c r="F51" s="29" t="str">
        <f>INDEX(Active!K:K, MATCH(Spearmans2!B51, Active!F:F,0),1)</f>
        <v>Volume all reservoirs (NORM_STORA in NID) per unit area of AOI (cubic meters/square km)</v>
      </c>
      <c r="G51" s="38" t="s">
        <v>213</v>
      </c>
      <c r="H51" s="29" t="s">
        <v>92</v>
      </c>
      <c r="I51" s="29" t="s">
        <v>200</v>
      </c>
      <c r="J51" s="29" t="s">
        <v>214</v>
      </c>
      <c r="K51" s="57" t="s">
        <v>42</v>
      </c>
      <c r="L51" s="30" t="str">
        <f>IF(RIGHT(K51,2)="WS", LEFT(K51,LEN(K51)-2),K51)</f>
        <v>DAMNIDSTOR</v>
      </c>
      <c r="M51" s="30" t="str">
        <f>INDEX(Active!J:J, MATCH(Spearmans2!L51, Active!F:F,0),1)</f>
        <v>Dam Resevoir NID Volume</v>
      </c>
      <c r="N51" s="30" t="str">
        <f>INDEX(Active!B:B, MATCH(Spearmans2!L51, Active!F:F,0),1)</f>
        <v>Anthropogenic</v>
      </c>
      <c r="O51" s="30" t="str">
        <f>INDEX(Active!K:K, MATCH(Spearmans2!L51, Active!F:F,0),1)</f>
        <v>Volume all reservoirs (NID_STORA in NID) per unit area of AOI (cubic meters/square km)</v>
      </c>
      <c r="P51" s="53" t="s">
        <v>208</v>
      </c>
      <c r="Q51" s="30" t="s">
        <v>92</v>
      </c>
      <c r="R51" s="30" t="s">
        <v>209</v>
      </c>
      <c r="S51" s="31">
        <v>0.99992000452710705</v>
      </c>
    </row>
    <row r="52" spans="1:19" s="19" customFormat="1" x14ac:dyDescent="0.3">
      <c r="A52" s="37" t="s">
        <v>35</v>
      </c>
      <c r="B52" s="25" t="str">
        <f>IF(RIGHT(A52,2)="WS", LEFT(A52,LEN(A52)-2),A52)</f>
        <v>ELEV</v>
      </c>
      <c r="C52" s="25" t="str">
        <f>INDEX(Active!J:J, MATCH(Spearmans2!B52, Active!F:F,0),1)</f>
        <v>Mean Elevation</v>
      </c>
      <c r="D52" s="25" t="str">
        <f>INDEX(Active!B:B, MATCH(Spearmans2!B52, Active!F:F,0),1)</f>
        <v>Natural</v>
      </c>
      <c r="E52" s="25" t="str">
        <f>INDEX(Active!D:D, MATCH(Spearmans2!B52, Active!F:F,0),1)</f>
        <v>Flow</v>
      </c>
      <c r="F52" s="25" t="str">
        <f>INDEX(Active!K:K, MATCH(Spearmans2!B52, Active!F:F,0),1)</f>
        <v>Mean AOI elevation (m)</v>
      </c>
      <c r="G52" s="37" t="s">
        <v>217</v>
      </c>
      <c r="H52" s="25" t="s">
        <v>103</v>
      </c>
      <c r="I52" s="25" t="s">
        <v>134</v>
      </c>
      <c r="J52" s="25" t="s">
        <v>218</v>
      </c>
      <c r="K52" s="55" t="s">
        <v>21</v>
      </c>
      <c r="L52" s="26" t="str">
        <f>IF(RIGHT(K52,2)="WS", LEFT(K52,LEN(K52)-2),K52)</f>
        <v>TMIN8110</v>
      </c>
      <c r="M52" s="26" t="str">
        <f>INDEX(Active!J:J, MATCH(Spearmans2!L52, Active!F:F,0),1)</f>
        <v>30-year Average Annual Normal Minimum Air Temperature</v>
      </c>
      <c r="N52" s="26" t="str">
        <f>INDEX(Active!B:B, MATCH(Spearmans2!L52, Active!F:F,0),1)</f>
        <v>Natural</v>
      </c>
      <c r="O52" s="26" t="str">
        <f>INDEX(Active!K:K, MATCH(Spearmans2!L52, Active!F:F,0),1)</f>
        <v>PRISM climate data - 30-year normal minimum temperature (CÂ°): Annual period: 1981-2010 within the AOI</v>
      </c>
      <c r="P52" s="52" t="s">
        <v>702</v>
      </c>
      <c r="Q52" s="26" t="s">
        <v>103</v>
      </c>
      <c r="R52" s="26" t="s">
        <v>703</v>
      </c>
      <c r="S52" s="27">
        <v>-0.92110528440925821</v>
      </c>
    </row>
    <row r="53" spans="1:19" s="20" customFormat="1" x14ac:dyDescent="0.3">
      <c r="A53" s="33" t="s">
        <v>35</v>
      </c>
      <c r="B53" s="23" t="str">
        <f>IF(RIGHT(A53,2)="WS", LEFT(A53,LEN(A53)-2),A53)</f>
        <v>ELEV</v>
      </c>
      <c r="C53" s="23" t="str">
        <f>INDEX(Active!J:J, MATCH(Spearmans2!B53, Active!F:F,0),1)</f>
        <v>Mean Elevation</v>
      </c>
      <c r="D53" s="23" t="str">
        <f>INDEX(Active!B:B, MATCH(Spearmans2!B53, Active!F:F,0),1)</f>
        <v>Natural</v>
      </c>
      <c r="E53" s="23" t="str">
        <f>INDEX(Active!D:D, MATCH(Spearmans2!B53, Active!F:F,0),1)</f>
        <v>Flow</v>
      </c>
      <c r="F53" s="23" t="str">
        <f>INDEX(Active!K:K, MATCH(Spearmans2!B53, Active!F:F,0),1)</f>
        <v>Mean AOI elevation (m)</v>
      </c>
      <c r="G53" s="33" t="s">
        <v>217</v>
      </c>
      <c r="H53" s="23" t="s">
        <v>103</v>
      </c>
      <c r="I53" s="23" t="s">
        <v>134</v>
      </c>
      <c r="J53" s="23" t="s">
        <v>218</v>
      </c>
      <c r="K53" s="56" t="s">
        <v>25</v>
      </c>
      <c r="L53" s="24" t="str">
        <f>IF(RIGHT(K53,2)="WS", LEFT(K53,LEN(K53)-2),K53)</f>
        <v>TMIN9120</v>
      </c>
      <c r="M53" s="24" t="str">
        <f>INDEX(Active!J:J, MATCH(Spearmans2!L53, Active!F:F,0),1)</f>
        <v>30-year Average Annual Normal Minimum Air Temperature</v>
      </c>
      <c r="N53" s="24" t="str">
        <f>INDEX(Active!B:B, MATCH(Spearmans2!L53, Active!F:F,0),1)</f>
        <v>Natural</v>
      </c>
      <c r="O53" s="24" t="str">
        <f>INDEX(Active!K:K, MATCH(Spearmans2!L53, Active!F:F,0),1)</f>
        <v>PRISM climate data - 30-year normal minimum temperature (CÂ°): Annual period: 1991-2020 within the AOI</v>
      </c>
      <c r="P53" s="34" t="s">
        <v>702</v>
      </c>
      <c r="Q53" s="24" t="s">
        <v>103</v>
      </c>
      <c r="R53" s="24" t="s">
        <v>706</v>
      </c>
      <c r="S53" s="28">
        <v>-0.91030359440594499</v>
      </c>
    </row>
    <row r="54" spans="1:19" s="20" customFormat="1" x14ac:dyDescent="0.3">
      <c r="A54" s="33" t="s">
        <v>35</v>
      </c>
      <c r="B54" s="23" t="str">
        <f>IF(RIGHT(A54,2)="WS", LEFT(A54,LEN(A54)-2),A54)</f>
        <v>ELEV</v>
      </c>
      <c r="C54" s="23" t="str">
        <f>INDEX(Active!J:J, MATCH(Spearmans2!B54, Active!F:F,0),1)</f>
        <v>Mean Elevation</v>
      </c>
      <c r="D54" s="23" t="str">
        <f>INDEX(Active!B:B, MATCH(Spearmans2!B54, Active!F:F,0),1)</f>
        <v>Natural</v>
      </c>
      <c r="E54" s="23" t="str">
        <f>INDEX(Active!D:D, MATCH(Spearmans2!B54, Active!F:F,0),1)</f>
        <v>Flow</v>
      </c>
      <c r="F54" s="23" t="str">
        <f>INDEX(Active!K:K, MATCH(Spearmans2!B54, Active!F:F,0),1)</f>
        <v>Mean AOI elevation (m)</v>
      </c>
      <c r="G54" s="33" t="s">
        <v>217</v>
      </c>
      <c r="H54" s="23" t="s">
        <v>103</v>
      </c>
      <c r="I54" s="23" t="s">
        <v>134</v>
      </c>
      <c r="J54" s="23" t="s">
        <v>218</v>
      </c>
      <c r="K54" s="56" t="s">
        <v>36</v>
      </c>
      <c r="L54" s="24" t="str">
        <f>IF(RIGHT(K54,2)="WS", LEFT(K54,LEN(K54)-2),K54)</f>
        <v>MWST2008</v>
      </c>
      <c r="M54" s="24" t="str">
        <f>INDEX(Active!J:J, MATCH(Spearmans2!L54, Active!F:F,0),1)</f>
        <v>Mean Winter Stream Temp</v>
      </c>
      <c r="N54" s="24" t="str">
        <f>INDEX(Active!B:B, MATCH(Spearmans2!L54, Active!F:F,0),1)</f>
        <v>Natural</v>
      </c>
      <c r="O54" s="24" t="str">
        <f>INDEX(Active!K:K, MATCH(Spearmans2!L54, Active!F:F,0),1)</f>
        <v>Predicted mean winter stream temperature (Jan-Feb) for year 2008, 2009, 2013, 2014</v>
      </c>
      <c r="P54" s="34" t="s">
        <v>302</v>
      </c>
      <c r="Q54" s="24" t="s">
        <v>103</v>
      </c>
      <c r="R54" s="24" t="s">
        <v>303</v>
      </c>
      <c r="S54" s="28">
        <v>-0.89512230399981907</v>
      </c>
    </row>
    <row r="55" spans="1:19" s="20" customFormat="1" x14ac:dyDescent="0.3">
      <c r="A55" s="33" t="s">
        <v>35</v>
      </c>
      <c r="B55" s="23" t="str">
        <f>IF(RIGHT(A55,2)="WS", LEFT(A55,LEN(A55)-2),A55)</f>
        <v>ELEV</v>
      </c>
      <c r="C55" s="23" t="str">
        <f>INDEX(Active!J:J, MATCH(Spearmans2!B55, Active!F:F,0),1)</f>
        <v>Mean Elevation</v>
      </c>
      <c r="D55" s="23" t="str">
        <f>INDEX(Active!B:B, MATCH(Spearmans2!B55, Active!F:F,0),1)</f>
        <v>Natural</v>
      </c>
      <c r="E55" s="23" t="str">
        <f>INDEX(Active!D:D, MATCH(Spearmans2!B55, Active!F:F,0),1)</f>
        <v>Flow</v>
      </c>
      <c r="F55" s="23" t="str">
        <f>INDEX(Active!K:K, MATCH(Spearmans2!B55, Active!F:F,0),1)</f>
        <v>Mean AOI elevation (m)</v>
      </c>
      <c r="G55" s="33" t="s">
        <v>217</v>
      </c>
      <c r="H55" s="23" t="s">
        <v>103</v>
      </c>
      <c r="I55" s="23" t="s">
        <v>134</v>
      </c>
      <c r="J55" s="23" t="s">
        <v>218</v>
      </c>
      <c r="K55" s="56" t="s">
        <v>20</v>
      </c>
      <c r="L55" s="24" t="str">
        <f>IF(RIGHT(K55,2)="WS", LEFT(K55,LEN(K55)-2),K55)</f>
        <v>TMEAN8110</v>
      </c>
      <c r="M55" s="24" t="str">
        <f>INDEX(Active!J:J, MATCH(Spearmans2!L55, Active!F:F,0),1)</f>
        <v>30-year Mean Annual Air Temperature</v>
      </c>
      <c r="N55" s="24" t="str">
        <f>INDEX(Active!B:B, MATCH(Spearmans2!L55, Active!F:F,0),1)</f>
        <v>Natural</v>
      </c>
      <c r="O55" s="24" t="str">
        <f>INDEX(Active!K:K, MATCH(Spearmans2!L55, Active!F:F,0),1)</f>
        <v>PRISM climate data - 30-year normal mean temperature (CÂ°): Annual period: 1981-2010 within the AOI</v>
      </c>
      <c r="P55" s="34" t="s">
        <v>695</v>
      </c>
      <c r="Q55" s="24" t="s">
        <v>103</v>
      </c>
      <c r="R55" s="24" t="s">
        <v>696</v>
      </c>
      <c r="S55" s="28">
        <v>-0.88737327239413422</v>
      </c>
    </row>
    <row r="56" spans="1:19" s="20" customFormat="1" x14ac:dyDescent="0.3">
      <c r="A56" s="33" t="s">
        <v>35</v>
      </c>
      <c r="B56" s="23" t="str">
        <f>IF(RIGHT(A56,2)="WS", LEFT(A56,LEN(A56)-2),A56)</f>
        <v>ELEV</v>
      </c>
      <c r="C56" s="23" t="str">
        <f>INDEX(Active!J:J, MATCH(Spearmans2!B56, Active!F:F,0),1)</f>
        <v>Mean Elevation</v>
      </c>
      <c r="D56" s="23" t="str">
        <f>INDEX(Active!B:B, MATCH(Spearmans2!B56, Active!F:F,0),1)</f>
        <v>Natural</v>
      </c>
      <c r="E56" s="23" t="str">
        <f>INDEX(Active!D:D, MATCH(Spearmans2!B56, Active!F:F,0),1)</f>
        <v>Flow</v>
      </c>
      <c r="F56" s="23" t="str">
        <f>INDEX(Active!K:K, MATCH(Spearmans2!B56, Active!F:F,0),1)</f>
        <v>Mean AOI elevation (m)</v>
      </c>
      <c r="G56" s="33" t="s">
        <v>217</v>
      </c>
      <c r="H56" s="23" t="s">
        <v>103</v>
      </c>
      <c r="I56" s="23" t="s">
        <v>134</v>
      </c>
      <c r="J56" s="23" t="s">
        <v>218</v>
      </c>
      <c r="K56" s="56" t="s">
        <v>24</v>
      </c>
      <c r="L56" s="24" t="str">
        <f>IF(RIGHT(K56,2)="WS", LEFT(K56,LEN(K56)-2),K56)</f>
        <v>TMEAN9120</v>
      </c>
      <c r="M56" s="24" t="str">
        <f>INDEX(Active!J:J, MATCH(Spearmans2!L56, Active!F:F,0),1)</f>
        <v>30-year Mean Annual Air Temperature</v>
      </c>
      <c r="N56" s="24" t="str">
        <f>INDEX(Active!B:B, MATCH(Spearmans2!L56, Active!F:F,0),1)</f>
        <v>Natural</v>
      </c>
      <c r="O56" s="24" t="str">
        <f>INDEX(Active!K:K, MATCH(Spearmans2!L56, Active!F:F,0),1)</f>
        <v>PRISM climate data - 30-year normal mean temperature (CÂ°): Annual period: 1991-2020 within the AOI</v>
      </c>
      <c r="P56" s="34" t="s">
        <v>695</v>
      </c>
      <c r="Q56" s="24" t="s">
        <v>103</v>
      </c>
      <c r="R56" s="24" t="s">
        <v>699</v>
      </c>
      <c r="S56" s="28">
        <v>-0.8790969616126435</v>
      </c>
    </row>
    <row r="57" spans="1:19" s="20" customFormat="1" x14ac:dyDescent="0.3">
      <c r="A57" s="33" t="s">
        <v>35</v>
      </c>
      <c r="B57" s="23" t="str">
        <f>IF(RIGHT(A57,2)="WS", LEFT(A57,LEN(A57)-2),A57)</f>
        <v>ELEV</v>
      </c>
      <c r="C57" s="23" t="str">
        <f>INDEX(Active!J:J, MATCH(Spearmans2!B57, Active!F:F,0),1)</f>
        <v>Mean Elevation</v>
      </c>
      <c r="D57" s="23" t="str">
        <f>INDEX(Active!B:B, MATCH(Spearmans2!B57, Active!F:F,0),1)</f>
        <v>Natural</v>
      </c>
      <c r="E57" s="23" t="str">
        <f>INDEX(Active!D:D, MATCH(Spearmans2!B57, Active!F:F,0),1)</f>
        <v>Flow</v>
      </c>
      <c r="F57" s="23" t="str">
        <f>INDEX(Active!K:K, MATCH(Spearmans2!B57, Active!F:F,0),1)</f>
        <v>Mean AOI elevation (m)</v>
      </c>
      <c r="G57" s="33" t="s">
        <v>217</v>
      </c>
      <c r="H57" s="23" t="s">
        <v>103</v>
      </c>
      <c r="I57" s="23" t="s">
        <v>134</v>
      </c>
      <c r="J57" s="23" t="s">
        <v>218</v>
      </c>
      <c r="K57" s="56" t="s">
        <v>22</v>
      </c>
      <c r="L57" s="24" t="str">
        <f>IF(RIGHT(K57,2)="WS", LEFT(K57,LEN(K57)-2),K57)</f>
        <v>TMEAN2008</v>
      </c>
      <c r="M57" s="24" t="str">
        <f>INDEX(Active!J:J, MATCH(Spearmans2!L57, Active!F:F,0),1)</f>
        <v>Mean Air Temperature</v>
      </c>
      <c r="N57" s="24" t="str">
        <f>INDEX(Active!B:B, MATCH(Spearmans2!L57, Active!F:F,0),1)</f>
        <v>Natural</v>
      </c>
      <c r="O57" s="24" t="str">
        <f>INDEX(Active!K:K, MATCH(Spearmans2!L57, Active!F:F,0),1)</f>
        <v>PRISM climate data - Mean temperature (°C) within the AOI. Period: 2008 and 2009</v>
      </c>
      <c r="P57" s="34" t="s">
        <v>691</v>
      </c>
      <c r="Q57" s="24" t="s">
        <v>103</v>
      </c>
      <c r="R57" s="24" t="s">
        <v>692</v>
      </c>
      <c r="S57" s="28">
        <v>-0.8572689667781106</v>
      </c>
    </row>
    <row r="58" spans="1:19" s="21" customFormat="1" x14ac:dyDescent="0.3">
      <c r="A58" s="38" t="s">
        <v>35</v>
      </c>
      <c r="B58" s="29" t="str">
        <f>IF(RIGHT(A58,2)="WS", LEFT(A58,LEN(A58)-2),A58)</f>
        <v>ELEV</v>
      </c>
      <c r="C58" s="29" t="str">
        <f>INDEX(Active!J:J, MATCH(Spearmans2!B58, Active!F:F,0),1)</f>
        <v>Mean Elevation</v>
      </c>
      <c r="D58" s="29" t="str">
        <f>INDEX(Active!B:B, MATCH(Spearmans2!B58, Active!F:F,0),1)</f>
        <v>Natural</v>
      </c>
      <c r="E58" s="29" t="str">
        <f>INDEX(Active!D:D, MATCH(Spearmans2!B58, Active!F:F,0),1)</f>
        <v>Flow</v>
      </c>
      <c r="F58" s="29" t="str">
        <f>INDEX(Active!K:K, MATCH(Spearmans2!B58, Active!F:F,0),1)</f>
        <v>Mean AOI elevation (m)</v>
      </c>
      <c r="G58" s="38" t="s">
        <v>217</v>
      </c>
      <c r="H58" s="29" t="s">
        <v>103</v>
      </c>
      <c r="I58" s="29" t="s">
        <v>134</v>
      </c>
      <c r="J58" s="29" t="s">
        <v>218</v>
      </c>
      <c r="K58" s="57" t="s">
        <v>50</v>
      </c>
      <c r="L58" s="30" t="str">
        <f>IF(RIGHT(K58,2)="WS", LEFT(K58,LEN(K58)-2),K58)</f>
        <v>PCTMXFST2001</v>
      </c>
      <c r="M58" s="30" t="str">
        <f>INDEX(Active!J:J, MATCH(Spearmans2!L58, Active!F:F,0),1)</f>
        <v>Mixed Deciduous/Evergreen Forest Percentage</v>
      </c>
      <c r="N58" s="30" t="str">
        <f>INDEX(Active!B:B, MATCH(Spearmans2!L58, Active!F:F,0),1)</f>
        <v>Natural</v>
      </c>
      <c r="O58" s="30" t="str">
        <f>INDEX(Active!K:K, MATCH(Spearmans2!L58, Active!F:F,0),1)</f>
        <v>% of AOI area classified as mixed deciduous/evergreen forest land cover (NLCD class 43)</v>
      </c>
      <c r="P58" s="53" t="s">
        <v>503</v>
      </c>
      <c r="Q58" s="30" t="s">
        <v>103</v>
      </c>
      <c r="R58" s="30" t="s">
        <v>504</v>
      </c>
      <c r="S58" s="31">
        <v>-0.80963211038336902</v>
      </c>
    </row>
    <row r="59" spans="1:19" s="36" customFormat="1" x14ac:dyDescent="0.3">
      <c r="A59" s="39" t="s">
        <v>56</v>
      </c>
      <c r="B59" s="16" t="str">
        <f>IF(RIGHT(A59,2)="WS", LEFT(A59,LEN(A59)-2),A59)</f>
        <v>FE2O3</v>
      </c>
      <c r="C59" s="16" t="str">
        <f>INDEX(Active!J:J, MATCH(Spearmans2!B59, Active!F:F,0),1)</f>
        <v>Mean Lithological Ferric Oxide</v>
      </c>
      <c r="D59" s="16" t="str">
        <f>INDEX(Active!B:B, MATCH(Spearmans2!B59, Active!F:F,0),1)</f>
        <v>Natural</v>
      </c>
      <c r="E59" s="16" t="str">
        <f>INDEX(Active!D:D, MATCH(Spearmans2!B59, Active!F:F,0),1)</f>
        <v>Lithology</v>
      </c>
      <c r="F59" s="16" t="str">
        <f>INDEX(Active!K:K, MATCH(Spearmans2!B59, Active!F:F,0),1)</f>
        <v>Mean % of lithological ferric oxide (Fe2O3) content in surface or near surface geology within AOI</v>
      </c>
      <c r="G59" s="39" t="s">
        <v>222</v>
      </c>
      <c r="H59" s="16" t="s">
        <v>103</v>
      </c>
      <c r="I59" s="16" t="s">
        <v>104</v>
      </c>
      <c r="J59" s="16" t="s">
        <v>223</v>
      </c>
      <c r="K59" s="58" t="s">
        <v>54</v>
      </c>
      <c r="L59" s="17" t="str">
        <f>IF(RIGHT(K59,2)="WS", LEFT(K59,LEN(K59)-2),K59)</f>
        <v>SIO2</v>
      </c>
      <c r="M59" s="17" t="str">
        <f>INDEX(Active!J:J, MATCH(Spearmans2!L59, Active!F:F,0),1)</f>
        <v>Mean Lithological Silicon Dioxide</v>
      </c>
      <c r="N59" s="17" t="str">
        <f>INDEX(Active!B:B, MATCH(Spearmans2!L59, Active!F:F,0),1)</f>
        <v>Natural</v>
      </c>
      <c r="O59" s="17" t="str">
        <f>INDEX(Active!K:K, MATCH(Spearmans2!L59, Active!F:F,0),1)</f>
        <v>Mean % of lithological silicon dioxide (SiO2) content in surface or near surface geology within AOI</v>
      </c>
      <c r="P59" s="45" t="s">
        <v>659</v>
      </c>
      <c r="Q59" s="17" t="s">
        <v>103</v>
      </c>
      <c r="R59" s="17" t="s">
        <v>660</v>
      </c>
      <c r="S59" s="18">
        <v>-0.84231954351277305</v>
      </c>
    </row>
    <row r="60" spans="1:19" s="19" customFormat="1" x14ac:dyDescent="0.3">
      <c r="A60" s="37" t="s">
        <v>13</v>
      </c>
      <c r="B60" s="25" t="str">
        <f>IF(RIGHT(A60,2)="WS", LEFT(A60,LEN(A60)-2),A60)</f>
        <v>FERT</v>
      </c>
      <c r="C60" s="25" t="str">
        <f>INDEX(Active!J:J, MATCH(Spearmans2!B60, Active!F:F,0),1)</f>
        <v>Synthetic Nitrogen Fertilizer Application Mean Rate</v>
      </c>
      <c r="D60" s="25" t="str">
        <f>INDEX(Active!B:B, MATCH(Spearmans2!B60, Active!F:F,0),1)</f>
        <v>Anthropogenic</v>
      </c>
      <c r="E60" s="25" t="str">
        <f>INDEX(Active!D:D, MATCH(Spearmans2!B60, Active!F:F,0),1)</f>
        <v>Agriculture</v>
      </c>
      <c r="F60" s="25" t="str">
        <f>INDEX(Active!K:K, MATCH(Spearmans2!B60, Active!F:F,0),1)</f>
        <v>Mean rate of synthetic nitrogen fertilizer application to agricultural land in kg N/ha/yr, within the AOI</v>
      </c>
      <c r="G60" s="37" t="s">
        <v>226</v>
      </c>
      <c r="H60" s="25" t="s">
        <v>92</v>
      </c>
      <c r="I60" s="25" t="s">
        <v>94</v>
      </c>
      <c r="J60" s="25" t="s">
        <v>227</v>
      </c>
      <c r="K60" s="55" t="s">
        <v>12</v>
      </c>
      <c r="L60" s="26" t="str">
        <f>IF(RIGHT(K60,2)="WS", LEFT(K60,LEN(K60)-2),K60)</f>
        <v>MANURE</v>
      </c>
      <c r="M60" s="26" t="str">
        <f>INDEX(Active!J:J, MATCH(Spearmans2!L60, Active!F:F,0),1)</f>
        <v>Mean Manure Application Rate</v>
      </c>
      <c r="N60" s="26" t="str">
        <f>INDEX(Active!B:B, MATCH(Spearmans2!L60, Active!F:F,0),1)</f>
        <v>Anthropogenic</v>
      </c>
      <c r="O60" s="26" t="str">
        <f>INDEX(Active!K:K, MATCH(Spearmans2!L60, Active!F:F,0),1)</f>
        <v>Mean rate of manure application to agricultural land from confined animal feeding operations in kg N/ha/yr, within AOI</v>
      </c>
      <c r="P60" s="52" t="s">
        <v>276</v>
      </c>
      <c r="Q60" s="26" t="s">
        <v>92</v>
      </c>
      <c r="R60" s="26" t="s">
        <v>277</v>
      </c>
      <c r="S60" s="27">
        <v>0.87360987114310895</v>
      </c>
    </row>
    <row r="61" spans="1:19" s="20" customFormat="1" x14ac:dyDescent="0.3">
      <c r="A61" s="33" t="s">
        <v>13</v>
      </c>
      <c r="B61" s="23" t="str">
        <f>IF(RIGHT(A61,2)="WS", LEFT(A61,LEN(A61)-2),A61)</f>
        <v>FERT</v>
      </c>
      <c r="C61" s="23" t="str">
        <f>INDEX(Active!J:J, MATCH(Spearmans2!B61, Active!F:F,0),1)</f>
        <v>Synthetic Nitrogen Fertilizer Application Mean Rate</v>
      </c>
      <c r="D61" s="23" t="str">
        <f>INDEX(Active!B:B, MATCH(Spearmans2!B61, Active!F:F,0),1)</f>
        <v>Anthropogenic</v>
      </c>
      <c r="E61" s="23" t="str">
        <f>INDEX(Active!D:D, MATCH(Spearmans2!B61, Active!F:F,0),1)</f>
        <v>Agriculture</v>
      </c>
      <c r="F61" s="23" t="str">
        <f>INDEX(Active!K:K, MATCH(Spearmans2!B61, Active!F:F,0),1)</f>
        <v>Mean rate of synthetic nitrogen fertilizer application to agricultural land in kg N/ha/yr, within the AOI</v>
      </c>
      <c r="G61" s="33" t="s">
        <v>226</v>
      </c>
      <c r="H61" s="23" t="s">
        <v>92</v>
      </c>
      <c r="I61" s="23" t="s">
        <v>94</v>
      </c>
      <c r="J61" s="23" t="s">
        <v>227</v>
      </c>
      <c r="K61" s="56" t="s">
        <v>9</v>
      </c>
      <c r="L61" s="24" t="str">
        <f>IF(RIGHT(K61,2)="WS", LEFT(K61,LEN(K61)-2),K61)</f>
        <v>WATERINPUT</v>
      </c>
      <c r="M61" s="24" t="str">
        <f>INDEX(Active!J:J, MATCH(Spearmans2!L61, Active!F:F,0),1)</f>
        <v>Water Input</v>
      </c>
      <c r="N61" s="24" t="str">
        <f>INDEX(Active!B:B, MATCH(Spearmans2!L61, Active!F:F,0),1)</f>
        <v>Anthropogenic</v>
      </c>
      <c r="O61" s="24" t="str">
        <f>INDEX(Active!K:K, MATCH(Spearmans2!L61, Active!F:F,0),1)</f>
        <v>Water Input (km2/cm): Ratio of the total area of irrigated land to precipitation within AOI</v>
      </c>
      <c r="P61" s="34" t="s">
        <v>713</v>
      </c>
      <c r="Q61" s="24" t="s">
        <v>92</v>
      </c>
      <c r="R61" s="24" t="s">
        <v>714</v>
      </c>
      <c r="S61" s="28">
        <v>0.93269025485344847</v>
      </c>
    </row>
    <row r="62" spans="1:19" s="20" customFormat="1" x14ac:dyDescent="0.3">
      <c r="A62" s="33" t="s">
        <v>13</v>
      </c>
      <c r="B62" s="23" t="str">
        <f>IF(RIGHT(A62,2)="WS", LEFT(A62,LEN(A62)-2),A62)</f>
        <v>FERT</v>
      </c>
      <c r="C62" s="23" t="str">
        <f>INDEX(Active!J:J, MATCH(Spearmans2!B62, Active!F:F,0),1)</f>
        <v>Synthetic Nitrogen Fertilizer Application Mean Rate</v>
      </c>
      <c r="D62" s="23" t="str">
        <f>INDEX(Active!B:B, MATCH(Spearmans2!B62, Active!F:F,0),1)</f>
        <v>Anthropogenic</v>
      </c>
      <c r="E62" s="23" t="str">
        <f>INDEX(Active!D:D, MATCH(Spearmans2!B62, Active!F:F,0),1)</f>
        <v>Agriculture</v>
      </c>
      <c r="F62" s="23" t="str">
        <f>INDEX(Active!K:K, MATCH(Spearmans2!B62, Active!F:F,0),1)</f>
        <v>Mean rate of synthetic nitrogen fertilizer application to agricultural land in kg N/ha/yr, within the AOI</v>
      </c>
      <c r="G62" s="33" t="s">
        <v>226</v>
      </c>
      <c r="H62" s="23" t="s">
        <v>92</v>
      </c>
      <c r="I62" s="23" t="s">
        <v>94</v>
      </c>
      <c r="J62" s="23" t="s">
        <v>227</v>
      </c>
      <c r="K62" s="56" t="s">
        <v>8</v>
      </c>
      <c r="L62" s="24" t="str">
        <f>IF(RIGHT(K62,2)="WS", LEFT(K62,LEN(K62)-2),K62)</f>
        <v>WDRW_LD</v>
      </c>
      <c r="M62" s="24" t="str">
        <f>INDEX(Active!J:J, MATCH(Spearmans2!L62, Active!F:F,0),1)</f>
        <v>Agricultural Fresh Surface-Water Withdraw</v>
      </c>
      <c r="N62" s="24" t="str">
        <f>INDEX(Active!B:B, MATCH(Spearmans2!L62, Active!F:F,0),1)</f>
        <v>Anthropogenic</v>
      </c>
      <c r="O62" s="24" t="str">
        <f>INDEX(Active!K:K, MATCH(Spearmans2!L62, Active!F:F,0),1)</f>
        <v>Total fresh surface-water withdrawals in agricultural land per AOI area (L/day)</v>
      </c>
      <c r="P62" s="34" t="s">
        <v>718</v>
      </c>
      <c r="Q62" s="24" t="s">
        <v>92</v>
      </c>
      <c r="R62" s="24" t="s">
        <v>719</v>
      </c>
      <c r="S62" s="28">
        <v>0.95615705110772742</v>
      </c>
    </row>
    <row r="63" spans="1:19" s="20" customFormat="1" x14ac:dyDescent="0.3">
      <c r="A63" s="33" t="s">
        <v>13</v>
      </c>
      <c r="B63" s="23" t="str">
        <f>IF(RIGHT(A63,2)="WS", LEFT(A63,LEN(A63)-2),A63)</f>
        <v>FERT</v>
      </c>
      <c r="C63" s="23" t="str">
        <f>INDEX(Active!J:J, MATCH(Spearmans2!B63, Active!F:F,0),1)</f>
        <v>Synthetic Nitrogen Fertilizer Application Mean Rate</v>
      </c>
      <c r="D63" s="23" t="str">
        <f>INDEX(Active!B:B, MATCH(Spearmans2!B63, Active!F:F,0),1)</f>
        <v>Anthropogenic</v>
      </c>
      <c r="E63" s="23" t="str">
        <f>INDEX(Active!D:D, MATCH(Spearmans2!B63, Active!F:F,0),1)</f>
        <v>Agriculture</v>
      </c>
      <c r="F63" s="23" t="str">
        <f>INDEX(Active!K:K, MATCH(Spearmans2!B63, Active!F:F,0),1)</f>
        <v>Mean rate of synthetic nitrogen fertilizer application to agricultural land in kg N/ha/yr, within the AOI</v>
      </c>
      <c r="G63" s="33" t="s">
        <v>226</v>
      </c>
      <c r="H63" s="23" t="s">
        <v>92</v>
      </c>
      <c r="I63" s="23" t="s">
        <v>94</v>
      </c>
      <c r="J63" s="23" t="s">
        <v>227</v>
      </c>
      <c r="K63" s="56" t="s">
        <v>11</v>
      </c>
      <c r="L63" s="24" t="str">
        <f>IF(RIGHT(K63,2)="WS", LEFT(K63,LEN(K63)-2),K63)</f>
        <v>CBNF</v>
      </c>
      <c r="M63" s="24" t="str">
        <f>INDEX(Active!J:J, MATCH(Spearmans2!L63, Active!F:F,0),1)</f>
        <v>Cultivated Biological Nitrogen Fixation Mean Rate</v>
      </c>
      <c r="N63" s="24" t="str">
        <f>INDEX(Active!B:B, MATCH(Spearmans2!L63, Active!F:F,0),1)</f>
        <v>Anthropogenic</v>
      </c>
      <c r="O63" s="24" t="str">
        <f>INDEX(Active!K:K, MATCH(Spearmans2!L63, Active!F:F,0),1)</f>
        <v>Mean rate of biological nitrogen fixation from the cultivation of crops in kg N/ha/yr, within AOI</v>
      </c>
      <c r="P63" s="34" t="s">
        <v>168</v>
      </c>
      <c r="Q63" s="24" t="s">
        <v>92</v>
      </c>
      <c r="R63" s="24" t="s">
        <v>169</v>
      </c>
      <c r="S63" s="28">
        <v>0.98647524710504131</v>
      </c>
    </row>
    <row r="64" spans="1:19" s="21" customFormat="1" x14ac:dyDescent="0.3">
      <c r="A64" s="38" t="s">
        <v>13</v>
      </c>
      <c r="B64" s="29" t="str">
        <f>IF(RIGHT(A64,2)="WS", LEFT(A64,LEN(A64)-2),A64)</f>
        <v>FERT</v>
      </c>
      <c r="C64" s="29" t="str">
        <f>INDEX(Active!J:J, MATCH(Spearmans2!B64, Active!F:F,0),1)</f>
        <v>Synthetic Nitrogen Fertilizer Application Mean Rate</v>
      </c>
      <c r="D64" s="29" t="str">
        <f>INDEX(Active!B:B, MATCH(Spearmans2!B64, Active!F:F,0),1)</f>
        <v>Anthropogenic</v>
      </c>
      <c r="E64" s="29" t="str">
        <f>INDEX(Active!D:D, MATCH(Spearmans2!B64, Active!F:F,0),1)</f>
        <v>Agriculture</v>
      </c>
      <c r="F64" s="29" t="str">
        <f>INDEX(Active!K:K, MATCH(Spearmans2!B64, Active!F:F,0),1)</f>
        <v>Mean rate of synthetic nitrogen fertilizer application to agricultural land in kg N/ha/yr, within the AOI</v>
      </c>
      <c r="G64" s="38" t="s">
        <v>226</v>
      </c>
      <c r="H64" s="29" t="s">
        <v>92</v>
      </c>
      <c r="I64" s="29" t="s">
        <v>94</v>
      </c>
      <c r="J64" s="29" t="s">
        <v>227</v>
      </c>
      <c r="K64" s="57" t="s">
        <v>10</v>
      </c>
      <c r="L64" s="30" t="str">
        <f>IF(RIGHT(K64,2)="WS", LEFT(K64,LEN(K64)-2),K64)</f>
        <v>AGKFFACT</v>
      </c>
      <c r="M64" s="30" t="str">
        <f>INDEX(Active!J:J, MATCH(Spearmans2!L64, Active!F:F,0),1)</f>
        <v>Ag Soil Erodibility Kf Factor</v>
      </c>
      <c r="N64" s="30" t="str">
        <f>INDEX(Active!B:B, MATCH(Spearmans2!L64, Active!F:F,0),1)</f>
        <v>Anthropogenic</v>
      </c>
      <c r="O64" s="30" t="str">
        <f>INDEX(Active!K:K, MATCH(Spearmans2!L64,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64" s="53" t="s">
        <v>98</v>
      </c>
      <c r="Q64" s="30" t="s">
        <v>92</v>
      </c>
      <c r="R64" s="30" t="s">
        <v>99</v>
      </c>
      <c r="S64" s="31">
        <v>0.98849024884336067</v>
      </c>
    </row>
    <row r="65" spans="1:19" s="36" customFormat="1" x14ac:dyDescent="0.3">
      <c r="A65" s="39" t="s">
        <v>43</v>
      </c>
      <c r="B65" s="16" t="str">
        <f>IF(RIGHT(A65,2)="WS", LEFT(A65,LEN(A65)-2),A65)</f>
        <v>HABT</v>
      </c>
      <c r="C65" s="16" t="str">
        <f>INDEX(Active!J:J, MATCH(Spearmans2!B65, Active!F:F,0),1)</f>
        <v>HABT</v>
      </c>
      <c r="D65" s="16" t="str">
        <f>INDEX(Active!B:B, MATCH(Spearmans2!B65, Active!F:F,0),1)</f>
        <v>Anthropogenic</v>
      </c>
      <c r="E65" s="16" t="str">
        <f>INDEX(Active!D:D, MATCH(Spearmans2!B65, Active!F:F,0),1)</f>
        <v>IWI</v>
      </c>
      <c r="F65" s="16" t="str">
        <f>INDEX(Active!K:K, MATCH(Spearmans2!B65, Active!F:F,0),1)</f>
        <v>Habitat provision component score calculated using AOI metrics</v>
      </c>
      <c r="G65" s="39" t="s">
        <v>230</v>
      </c>
      <c r="H65" s="16" t="s">
        <v>92</v>
      </c>
      <c r="I65" s="16" t="s">
        <v>76</v>
      </c>
      <c r="J65" s="16" t="s">
        <v>231</v>
      </c>
      <c r="K65" s="58" t="s">
        <v>44</v>
      </c>
      <c r="L65" s="17" t="str">
        <f>IF(RIGHT(K65,2)="WS", LEFT(K65,LEN(K65)-2),K65)</f>
        <v>SED</v>
      </c>
      <c r="M65" s="17" t="str">
        <f>INDEX(Active!J:J, MATCH(Spearmans2!L65, Active!F:F,0),1)</f>
        <v>SED</v>
      </c>
      <c r="N65" s="17" t="str">
        <f>INDEX(Active!B:B, MATCH(Spearmans2!L65, Active!F:F,0),1)</f>
        <v>Anthropogenic</v>
      </c>
      <c r="O65" s="17" t="str">
        <f>INDEX(Active!K:K, MATCH(Spearmans2!L65, Active!F:F,0),1)</f>
        <v>Sediment regulation component score calculated using AOI metrics</v>
      </c>
      <c r="P65" s="45" t="s">
        <v>650</v>
      </c>
      <c r="Q65" s="17" t="s">
        <v>92</v>
      </c>
      <c r="R65" s="17" t="s">
        <v>651</v>
      </c>
      <c r="S65" s="18">
        <v>0.93289112900726701</v>
      </c>
    </row>
    <row r="66" spans="1:19" s="36" customFormat="1" x14ac:dyDescent="0.3">
      <c r="A66" s="39" t="s">
        <v>67</v>
      </c>
      <c r="B66" s="16" t="str">
        <f>IF(RIGHT(A66,2)="WS", LEFT(A66,LEN(A66)-2),A66)</f>
        <v>HUDEN2010</v>
      </c>
      <c r="C66" s="16" t="str">
        <f>INDEX(Active!J:J, MATCH(Spearmans2!B66, Active!F:F,0),1)</f>
        <v>Mean Housing Density</v>
      </c>
      <c r="D66" s="16" t="str">
        <f>INDEX(Active!B:B, MATCH(Spearmans2!B66, Active!F:F,0),1)</f>
        <v>Anthropogenic</v>
      </c>
      <c r="E66" s="16" t="str">
        <f>INDEX(Active!D:D, MATCH(Spearmans2!B66, Active!F:F,0),1)</f>
        <v>Urban</v>
      </c>
      <c r="F66" s="16" t="str">
        <f>INDEX(Active!K:K, MATCH(Spearmans2!B66, Active!F:F,0),1)</f>
        <v>Mean housing unit density (housing units/square km) within AOI.</v>
      </c>
      <c r="G66" s="39" t="s">
        <v>237</v>
      </c>
      <c r="H66" s="16" t="s">
        <v>92</v>
      </c>
      <c r="I66" s="16" t="s">
        <v>232</v>
      </c>
      <c r="J66" s="16" t="s">
        <v>238</v>
      </c>
      <c r="K66" s="58" t="s">
        <v>68</v>
      </c>
      <c r="L66" s="17" t="str">
        <f>IF(RIGHT(K66,2)="WS", LEFT(K66,LEN(K66)-2),K66)</f>
        <v>POPDEN2010</v>
      </c>
      <c r="M66" s="17" t="str">
        <f>INDEX(Active!J:J, MATCH(Spearmans2!L66, Active!F:F,0),1)</f>
        <v>Mean Population Density</v>
      </c>
      <c r="N66" s="17" t="str">
        <f>INDEX(Active!B:B, MATCH(Spearmans2!L66, Active!F:F,0),1)</f>
        <v>Anthropogenic</v>
      </c>
      <c r="O66" s="17" t="str">
        <f>INDEX(Active!K:K, MATCH(Spearmans2!L66, Active!F:F,0),1)</f>
        <v>Mean populating density (people/square km) within AOI</v>
      </c>
      <c r="P66" s="45" t="s">
        <v>574</v>
      </c>
      <c r="Q66" s="17" t="s">
        <v>92</v>
      </c>
      <c r="R66" s="17" t="s">
        <v>575</v>
      </c>
      <c r="S66" s="18">
        <v>0.97263130701416123</v>
      </c>
    </row>
    <row r="67" spans="1:19" s="36" customFormat="1" x14ac:dyDescent="0.3">
      <c r="A67" s="39" t="s">
        <v>75</v>
      </c>
      <c r="B67" s="16" t="str">
        <f>IF(RIGHT(A67,2)="WS", LEFT(A67,LEN(A67)-2),A67)</f>
        <v>ICI</v>
      </c>
      <c r="C67" s="16" t="str">
        <f>INDEX(Active!J:J, MATCH(Spearmans2!B67, Active!F:F,0),1)</f>
        <v>ICI</v>
      </c>
      <c r="D67" s="16" t="str">
        <f>INDEX(Active!B:B, MATCH(Spearmans2!B67, Active!F:F,0),1)</f>
        <v>Anthropogenic</v>
      </c>
      <c r="E67" s="16" t="str">
        <f>INDEX(Active!D:D, MATCH(Spearmans2!B67, Active!F:F,0),1)</f>
        <v>Other</v>
      </c>
      <c r="F67" s="16" t="str">
        <f>INDEX(Active!K:K, MATCH(Spearmans2!B67, Active!F:F,0),1)</f>
        <v>Revised Index of catchment integrity (version 2.1) based on Johnson et al. 2018 STOTEN</v>
      </c>
      <c r="G67" s="39" t="s">
        <v>75</v>
      </c>
      <c r="H67" s="16" t="s">
        <v>92</v>
      </c>
      <c r="I67" s="16" t="s">
        <v>123</v>
      </c>
      <c r="J67" s="16" t="s">
        <v>252</v>
      </c>
      <c r="K67" s="58" t="s">
        <v>76</v>
      </c>
      <c r="L67" s="17" t="str">
        <f>IF(RIGHT(K67,2)="WS", LEFT(K67,LEN(K67)-2),K67)</f>
        <v>IWI</v>
      </c>
      <c r="M67" s="17" t="str">
        <f>INDEX(Active!J:J, MATCH(Spearmans2!L67, Active!F:F,0),1)</f>
        <v>IWI</v>
      </c>
      <c r="N67" s="17" t="str">
        <f>INDEX(Active!B:B, MATCH(Spearmans2!L67, Active!F:F,0),1)</f>
        <v>Anthropogenic</v>
      </c>
      <c r="O67" s="17" t="str">
        <f>INDEX(Active!K:K, MATCH(Spearmans2!L67, Active!F:F,0),1)</f>
        <v>Revised Index of catchment integrity (version 2.1) based on Johnson et al. 2018 STOTEN</v>
      </c>
      <c r="P67" s="45" t="s">
        <v>76</v>
      </c>
      <c r="Q67" s="17" t="s">
        <v>92</v>
      </c>
      <c r="R67" s="17" t="s">
        <v>252</v>
      </c>
      <c r="S67" s="18">
        <v>0.89561549647926419</v>
      </c>
    </row>
    <row r="68" spans="1:19" s="19" customFormat="1" x14ac:dyDescent="0.3">
      <c r="A68" s="37" t="s">
        <v>30</v>
      </c>
      <c r="B68" s="25" t="str">
        <f>IF(RIGHT(A68,2)="WS", LEFT(A68,LEN(A68)-2),A68)</f>
        <v>INORGNWETDEP2008</v>
      </c>
      <c r="C68" s="25" t="str">
        <f>INDEX(Active!J:J, MATCH(Spearmans2!B68, Active!F:F,0),1)</f>
        <v>Mean Annual Precipitation-Weighted Nitrogen</v>
      </c>
      <c r="D68" s="25" t="str">
        <f>INDEX(Active!B:B, MATCH(Spearmans2!B68, Active!F:F,0),1)</f>
        <v>Natural</v>
      </c>
      <c r="E68" s="25" t="str">
        <f>INDEX(Active!D:D, MATCH(Spearmans2!B68, Active!F:F,0),1)</f>
        <v>Climate</v>
      </c>
      <c r="F68" s="25" t="str">
        <f>INDEX(Active!K:K, MATCH(Spearmans2!B68, Active!F:F,0),1)</f>
        <v>Annual gradient map of precipitation-weighted mean deposition for inorganic nitrogen wet deposition from nitrate and ammonium for 2008 in kg of N/ha/yr, within AOI</v>
      </c>
      <c r="G68" s="37" t="s">
        <v>257</v>
      </c>
      <c r="H68" s="25" t="s">
        <v>103</v>
      </c>
      <c r="I68" s="25" t="s">
        <v>133</v>
      </c>
      <c r="J68" s="25" t="s">
        <v>258</v>
      </c>
      <c r="K68" s="55" t="s">
        <v>29</v>
      </c>
      <c r="L68" s="26" t="str">
        <f>IF(RIGHT(K68,2)="WS", LEFT(K68,LEN(K68)-2),K68)</f>
        <v>PRECIP2008</v>
      </c>
      <c r="M68" s="26" t="str">
        <f>INDEX(Active!J:J, MATCH(Spearmans2!L68, Active!F:F,0),1)</f>
        <v>Mean Precipitation</v>
      </c>
      <c r="N68" s="26" t="str">
        <f>INDEX(Active!B:B, MATCH(Spearmans2!L68, Active!F:F,0),1)</f>
        <v>Natural</v>
      </c>
      <c r="O68" s="26" t="str">
        <f>INDEX(Active!K:K, MATCH(Spearmans2!L68, Active!F:F,0),1)</f>
        <v>PRISM climate data - 30-year normal mean precipitation (mm): Annual period: 2008 and 2009 within the AOI</v>
      </c>
      <c r="P68" s="52" t="s">
        <v>580</v>
      </c>
      <c r="Q68" s="26" t="s">
        <v>103</v>
      </c>
      <c r="R68" s="26" t="s">
        <v>581</v>
      </c>
      <c r="S68" s="27">
        <v>0.85734586444263172</v>
      </c>
    </row>
    <row r="69" spans="1:19" s="20" customFormat="1" x14ac:dyDescent="0.3">
      <c r="A69" s="33" t="s">
        <v>30</v>
      </c>
      <c r="B69" s="23" t="str">
        <f>IF(RIGHT(A69,2)="WS", LEFT(A69,LEN(A69)-2),A69)</f>
        <v>INORGNWETDEP2008</v>
      </c>
      <c r="C69" s="23" t="str">
        <f>INDEX(Active!J:J, MATCH(Spearmans2!B69, Active!F:F,0),1)</f>
        <v>Mean Annual Precipitation-Weighted Nitrogen</v>
      </c>
      <c r="D69" s="23" t="str">
        <f>INDEX(Active!B:B, MATCH(Spearmans2!B69, Active!F:F,0),1)</f>
        <v>Natural</v>
      </c>
      <c r="E69" s="23" t="str">
        <f>INDEX(Active!D:D, MATCH(Spearmans2!B69, Active!F:F,0),1)</f>
        <v>Climate</v>
      </c>
      <c r="F69" s="23" t="str">
        <f>INDEX(Active!K:K, MATCH(Spearmans2!B69, Active!F:F,0),1)</f>
        <v>Annual gradient map of precipitation-weighted mean deposition for inorganic nitrogen wet deposition from nitrate and ammonium for 2008 in kg of N/ha/yr, within AOI</v>
      </c>
      <c r="G69" s="33" t="s">
        <v>257</v>
      </c>
      <c r="H69" s="23" t="s">
        <v>103</v>
      </c>
      <c r="I69" s="23" t="s">
        <v>133</v>
      </c>
      <c r="J69" s="23" t="s">
        <v>258</v>
      </c>
      <c r="K69" s="56" t="s">
        <v>27</v>
      </c>
      <c r="L69" s="24" t="str">
        <f>IF(RIGHT(K69,2)="WS", LEFT(K69,LEN(K69)-2),K69)</f>
        <v>PRECIP8110</v>
      </c>
      <c r="M69" s="24" t="str">
        <f>INDEX(Active!J:J, MATCH(Spearmans2!L69, Active!F:F,0),1)</f>
        <v>30-year Mean Annual Precipitation</v>
      </c>
      <c r="N69" s="24" t="str">
        <f>INDEX(Active!B:B, MATCH(Spearmans2!L69, Active!F:F,0),1)</f>
        <v>Natural</v>
      </c>
      <c r="O69" s="24" t="str">
        <f>INDEX(Active!K:K, MATCH(Spearmans2!L69, Active!F:F,0),1)</f>
        <v>PRISM climate data - 30-year normal mean precipitation (mm): Annual period: 1981-2010 within AOI</v>
      </c>
      <c r="P69" s="34" t="s">
        <v>591</v>
      </c>
      <c r="Q69" s="24" t="s">
        <v>103</v>
      </c>
      <c r="R69" s="24" t="s">
        <v>592</v>
      </c>
      <c r="S69" s="28">
        <v>0.87175861092155105</v>
      </c>
    </row>
    <row r="70" spans="1:19" s="20" customFormat="1" x14ac:dyDescent="0.3">
      <c r="A70" s="33" t="s">
        <v>30</v>
      </c>
      <c r="B70" s="23" t="str">
        <f>IF(RIGHT(A70,2)="WS", LEFT(A70,LEN(A70)-2),A70)</f>
        <v>INORGNWETDEP2008</v>
      </c>
      <c r="C70" s="23" t="str">
        <f>INDEX(Active!J:J, MATCH(Spearmans2!B70, Active!F:F,0),1)</f>
        <v>Mean Annual Precipitation-Weighted Nitrogen</v>
      </c>
      <c r="D70" s="23" t="str">
        <f>INDEX(Active!B:B, MATCH(Spearmans2!B70, Active!F:F,0),1)</f>
        <v>Natural</v>
      </c>
      <c r="E70" s="23" t="str">
        <f>INDEX(Active!D:D, MATCH(Spearmans2!B70, Active!F:F,0),1)</f>
        <v>Climate</v>
      </c>
      <c r="F70" s="23" t="str">
        <f>INDEX(Active!K:K, MATCH(Spearmans2!B70, Active!F:F,0),1)</f>
        <v>Annual gradient map of precipitation-weighted mean deposition for inorganic nitrogen wet deposition from nitrate and ammonium for 2008 in kg of N/ha/yr, within AOI</v>
      </c>
      <c r="G70" s="33" t="s">
        <v>257</v>
      </c>
      <c r="H70" s="23" t="s">
        <v>103</v>
      </c>
      <c r="I70" s="23" t="s">
        <v>133</v>
      </c>
      <c r="J70" s="23" t="s">
        <v>258</v>
      </c>
      <c r="K70" s="56" t="s">
        <v>33</v>
      </c>
      <c r="L70" s="24" t="str">
        <f>IF(RIGHT(K70,2)="WS", LEFT(K70,LEN(K70)-2),K70)</f>
        <v>PRECIP9120</v>
      </c>
      <c r="M70" s="24" t="str">
        <f>INDEX(Active!J:J, MATCH(Spearmans2!L70, Active!F:F,0),1)</f>
        <v>30-year Mean Annual Precipitation</v>
      </c>
      <c r="N70" s="24" t="str">
        <f>INDEX(Active!B:B, MATCH(Spearmans2!L70, Active!F:F,0),1)</f>
        <v>Natural</v>
      </c>
      <c r="O70" s="24" t="str">
        <f>INDEX(Active!K:K, MATCH(Spearmans2!L70, Active!F:F,0),1)</f>
        <v>PRISM climate data - 30-year normal mean precipitation (mm): Annual period: 1991-2020 within the AOI</v>
      </c>
      <c r="P70" s="34" t="s">
        <v>591</v>
      </c>
      <c r="Q70" s="24" t="s">
        <v>103</v>
      </c>
      <c r="R70" s="24" t="s">
        <v>596</v>
      </c>
      <c r="S70" s="28">
        <v>0.87357649770585999</v>
      </c>
    </row>
    <row r="71" spans="1:19" s="20" customFormat="1" x14ac:dyDescent="0.3">
      <c r="A71" s="33" t="s">
        <v>30</v>
      </c>
      <c r="B71" s="23" t="str">
        <f>IF(RIGHT(A71,2)="WS", LEFT(A71,LEN(A71)-2),A71)</f>
        <v>INORGNWETDEP2008</v>
      </c>
      <c r="C71" s="23" t="str">
        <f>INDEX(Active!J:J, MATCH(Spearmans2!B71, Active!F:F,0),1)</f>
        <v>Mean Annual Precipitation-Weighted Nitrogen</v>
      </c>
      <c r="D71" s="23" t="str">
        <f>INDEX(Active!B:B, MATCH(Spearmans2!B71, Active!F:F,0),1)</f>
        <v>Natural</v>
      </c>
      <c r="E71" s="23" t="str">
        <f>INDEX(Active!D:D, MATCH(Spearmans2!B71, Active!F:F,0),1)</f>
        <v>Climate</v>
      </c>
      <c r="F71" s="23" t="str">
        <f>INDEX(Active!K:K, MATCH(Spearmans2!B71, Active!F:F,0),1)</f>
        <v>Annual gradient map of precipitation-weighted mean deposition for inorganic nitrogen wet deposition from nitrate and ammonium for 2008 in kg of N/ha/yr, within AOI</v>
      </c>
      <c r="G71" s="33" t="s">
        <v>257</v>
      </c>
      <c r="H71" s="23" t="s">
        <v>103</v>
      </c>
      <c r="I71" s="23" t="s">
        <v>133</v>
      </c>
      <c r="J71" s="23" t="s">
        <v>258</v>
      </c>
      <c r="K71" s="56" t="s">
        <v>762</v>
      </c>
      <c r="L71" s="24" t="str">
        <f>IF(RIGHT(K71,2)="WS", LEFT(K71,LEN(K71)-2),K71)</f>
        <v>PRECIP_MINUS_EVT</v>
      </c>
      <c r="M71" s="24" t="str">
        <f>INDEX(Active!J:J, MATCH(Spearmans2!L71, Active!F:F,0),1)</f>
        <v>Surplus Precipitation</v>
      </c>
      <c r="N71" s="24" t="str">
        <f>INDEX(Active!B:B, MATCH(Spearmans2!L71, Active!F:F,0),1)</f>
        <v>Natural</v>
      </c>
      <c r="O71" s="24" t="str">
        <f>INDEX(Active!K:K, MATCH(Spearmans2!L71,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71" s="34" t="s">
        <v>587</v>
      </c>
      <c r="Q71" s="24" t="s">
        <v>103</v>
      </c>
      <c r="R71" s="24" t="s">
        <v>588</v>
      </c>
      <c r="S71" s="28">
        <v>0.87388327827182455</v>
      </c>
    </row>
    <row r="72" spans="1:19" s="20" customFormat="1" x14ac:dyDescent="0.3">
      <c r="A72" s="33" t="s">
        <v>30</v>
      </c>
      <c r="B72" s="23" t="str">
        <f>IF(RIGHT(A72,2)="WS", LEFT(A72,LEN(A72)-2),A72)</f>
        <v>INORGNWETDEP2008</v>
      </c>
      <c r="C72" s="23" t="str">
        <f>INDEX(Active!J:J, MATCH(Spearmans2!B72, Active!F:F,0),1)</f>
        <v>Mean Annual Precipitation-Weighted Nitrogen</v>
      </c>
      <c r="D72" s="23" t="str">
        <f>INDEX(Active!B:B, MATCH(Spearmans2!B72, Active!F:F,0),1)</f>
        <v>Natural</v>
      </c>
      <c r="E72" s="23" t="str">
        <f>INDEX(Active!D:D, MATCH(Spearmans2!B72, Active!F:F,0),1)</f>
        <v>Climate</v>
      </c>
      <c r="F72" s="23" t="str">
        <f>INDEX(Active!K:K, MATCH(Spearmans2!B72, Active!F:F,0),1)</f>
        <v>Annual gradient map of precipitation-weighted mean deposition for inorganic nitrogen wet deposition from nitrate and ammonium for 2008 in kg of N/ha/yr, within AOI</v>
      </c>
      <c r="G72" s="33" t="s">
        <v>257</v>
      </c>
      <c r="H72" s="23" t="s">
        <v>103</v>
      </c>
      <c r="I72" s="23" t="s">
        <v>133</v>
      </c>
      <c r="J72" s="23" t="s">
        <v>258</v>
      </c>
      <c r="K72" s="56" t="s">
        <v>28</v>
      </c>
      <c r="L72" s="24" t="str">
        <f>IF(RIGHT(K72,2)="WS", LEFT(K72,LEN(K72)-2),K72)</f>
        <v>NO32008</v>
      </c>
      <c r="M72" s="24" t="str">
        <f>INDEX(Active!J:J, MATCH(Spearmans2!L72, Active!F:F,0),1)</f>
        <v>Mean Annual Precipitation-Weighted NO3 Mean</v>
      </c>
      <c r="N72" s="24" t="str">
        <f>INDEX(Active!B:B, MATCH(Spearmans2!L72, Active!F:F,0),1)</f>
        <v>Natural</v>
      </c>
      <c r="O72" s="24" t="str">
        <f>INDEX(Active!K:K, MATCH(Spearmans2!L72, Active!F:F,0),1)</f>
        <v>Annual gradient map of precipitation-weighted mean deposition for nitrate ion concentration wet deposition for 2008 in kg of NO3/ha/yr, within AOI</v>
      </c>
      <c r="P72" s="34" t="s">
        <v>332</v>
      </c>
      <c r="Q72" s="24" t="s">
        <v>103</v>
      </c>
      <c r="R72" s="24" t="s">
        <v>333</v>
      </c>
      <c r="S72" s="28">
        <v>0.98597147193514034</v>
      </c>
    </row>
    <row r="73" spans="1:19" s="20" customFormat="1" x14ac:dyDescent="0.3">
      <c r="A73" s="33" t="s">
        <v>30</v>
      </c>
      <c r="B73" s="23" t="str">
        <f>IF(RIGHT(A73,2)="WS", LEFT(A73,LEN(A73)-2),A73)</f>
        <v>INORGNWETDEP2008</v>
      </c>
      <c r="C73" s="23" t="str">
        <f>INDEX(Active!J:J, MATCH(Spearmans2!B73, Active!F:F,0),1)</f>
        <v>Mean Annual Precipitation-Weighted Nitrogen</v>
      </c>
      <c r="D73" s="23" t="str">
        <f>INDEX(Active!B:B, MATCH(Spearmans2!B73, Active!F:F,0),1)</f>
        <v>Natural</v>
      </c>
      <c r="E73" s="23" t="str">
        <f>INDEX(Active!D:D, MATCH(Spearmans2!B73, Active!F:F,0),1)</f>
        <v>Climate</v>
      </c>
      <c r="F73" s="23" t="str">
        <f>INDEX(Active!K:K, MATCH(Spearmans2!B73, Active!F:F,0),1)</f>
        <v>Annual gradient map of precipitation-weighted mean deposition for inorganic nitrogen wet deposition from nitrate and ammonium for 2008 in kg of N/ha/yr, within AOI</v>
      </c>
      <c r="G73" s="33" t="s">
        <v>257</v>
      </c>
      <c r="H73" s="23" t="s">
        <v>103</v>
      </c>
      <c r="I73" s="23" t="s">
        <v>133</v>
      </c>
      <c r="J73" s="23" t="s">
        <v>258</v>
      </c>
      <c r="K73" s="56" t="s">
        <v>32</v>
      </c>
      <c r="L73" s="24" t="str">
        <f>IF(RIGHT(K73,2)="WS", LEFT(K73,LEN(K73)-2),K73)</f>
        <v>SN2008</v>
      </c>
      <c r="M73" s="24" t="str">
        <f>INDEX(Active!J:J, MATCH(Spearmans2!L73, Active!F:F,0),1)</f>
        <v>Annual Mean Sulfur and Nitrogen Wet Deposition</v>
      </c>
      <c r="N73" s="24" t="str">
        <f>INDEX(Active!B:B, MATCH(Spearmans2!L73, Active!F:F,0),1)</f>
        <v>Natural</v>
      </c>
      <c r="O73" s="24" t="str">
        <f>INDEX(Active!K:K, MATCH(Spearmans2!L73, Active!F:F,0),1)</f>
        <v>Annual gradient map of precipitation-weighted mean deposition for average sulfur &amp; nitrogen wet deposition for 2008 in kg of S+N/ha/yr, within AOI</v>
      </c>
      <c r="P73" s="34" t="s">
        <v>663</v>
      </c>
      <c r="Q73" s="24" t="s">
        <v>103</v>
      </c>
      <c r="R73" s="24" t="s">
        <v>664</v>
      </c>
      <c r="S73" s="28">
        <v>0.98937640717327635</v>
      </c>
    </row>
    <row r="74" spans="1:19" s="21" customFormat="1" x14ac:dyDescent="0.3">
      <c r="A74" s="38" t="s">
        <v>30</v>
      </c>
      <c r="B74" s="29" t="str">
        <f>IF(RIGHT(A74,2)="WS", LEFT(A74,LEN(A74)-2),A74)</f>
        <v>INORGNWETDEP2008</v>
      </c>
      <c r="C74" s="29" t="str">
        <f>INDEX(Active!J:J, MATCH(Spearmans2!B74, Active!F:F,0),1)</f>
        <v>Mean Annual Precipitation-Weighted Nitrogen</v>
      </c>
      <c r="D74" s="29" t="str">
        <f>INDEX(Active!B:B, MATCH(Spearmans2!B74, Active!F:F,0),1)</f>
        <v>Natural</v>
      </c>
      <c r="E74" s="29" t="str">
        <f>INDEX(Active!D:D, MATCH(Spearmans2!B74, Active!F:F,0),1)</f>
        <v>Climate</v>
      </c>
      <c r="F74" s="29" t="str">
        <f>INDEX(Active!K:K, MATCH(Spearmans2!B74, Active!F:F,0),1)</f>
        <v>Annual gradient map of precipitation-weighted mean deposition for inorganic nitrogen wet deposition from nitrate and ammonium for 2008 in kg of N/ha/yr, within AOI</v>
      </c>
      <c r="G74" s="38" t="s">
        <v>257</v>
      </c>
      <c r="H74" s="29" t="s">
        <v>103</v>
      </c>
      <c r="I74" s="29" t="s">
        <v>133</v>
      </c>
      <c r="J74" s="29" t="s">
        <v>258</v>
      </c>
      <c r="K74" s="57" t="s">
        <v>31</v>
      </c>
      <c r="L74" s="30" t="str">
        <f>IF(RIGHT(K74,2)="WS", LEFT(K74,LEN(K74)-2),K74)</f>
        <v>NH42008</v>
      </c>
      <c r="M74" s="30" t="str">
        <f>INDEX(Active!J:J, MATCH(Spearmans2!L74, Active!F:F,0),1)</f>
        <v>Mean annual Precipitation-Weighted NH4 Mean</v>
      </c>
      <c r="N74" s="30" t="str">
        <f>INDEX(Active!B:B, MATCH(Spearmans2!L74, Active!F:F,0),1)</f>
        <v>Natural</v>
      </c>
      <c r="O74" s="30" t="str">
        <f>INDEX(Active!K:K, MATCH(Spearmans2!L74, Active!F:F,0),1)</f>
        <v>Annual gradient map of precipitation-weighted mean deposition for ammonium ion concentration wet deposition for 2008 in kg of NH4/ha/yr, within AOI</v>
      </c>
      <c r="P74" s="53" t="s">
        <v>328</v>
      </c>
      <c r="Q74" s="30" t="s">
        <v>103</v>
      </c>
      <c r="R74" s="30" t="s">
        <v>329</v>
      </c>
      <c r="S74" s="31">
        <v>0.99380199694908333</v>
      </c>
    </row>
    <row r="75" spans="1:19" s="36" customFormat="1" x14ac:dyDescent="0.3">
      <c r="A75" s="39" t="s">
        <v>76</v>
      </c>
      <c r="B75" s="16" t="str">
        <f>IF(RIGHT(A75,2)="WS", LEFT(A75,LEN(A75)-2),A75)</f>
        <v>IWI</v>
      </c>
      <c r="C75" s="16" t="str">
        <f>INDEX(Active!J:J, MATCH(Spearmans2!B75, Active!F:F,0),1)</f>
        <v>IWI</v>
      </c>
      <c r="D75" s="16" t="str">
        <f>INDEX(Active!B:B, MATCH(Spearmans2!B75, Active!F:F,0),1)</f>
        <v>Anthropogenic</v>
      </c>
      <c r="E75" s="16" t="str">
        <f>INDEX(Active!D:D, MATCH(Spearmans2!B75, Active!F:F,0),1)</f>
        <v>Other</v>
      </c>
      <c r="F75" s="16" t="str">
        <f>INDEX(Active!K:K, MATCH(Spearmans2!B75, Active!F:F,0),1)</f>
        <v>Revised Index of catchment integrity (version 2.1) based on Johnson et al. 2018 STOTEN</v>
      </c>
      <c r="G75" s="39" t="s">
        <v>76</v>
      </c>
      <c r="H75" s="16" t="s">
        <v>92</v>
      </c>
      <c r="I75" s="16" t="s">
        <v>123</v>
      </c>
      <c r="J75" s="16" t="s">
        <v>252</v>
      </c>
      <c r="K75" s="58" t="s">
        <v>75</v>
      </c>
      <c r="L75" s="17" t="str">
        <f>IF(RIGHT(K75,2)="WS", LEFT(K75,LEN(K75)-2),K75)</f>
        <v>ICI</v>
      </c>
      <c r="M75" s="17" t="str">
        <f>INDEX(Active!J:J, MATCH(Spearmans2!L75, Active!F:F,0),1)</f>
        <v>ICI</v>
      </c>
      <c r="N75" s="17" t="str">
        <f>INDEX(Active!B:B, MATCH(Spearmans2!L75, Active!F:F,0),1)</f>
        <v>Anthropogenic</v>
      </c>
      <c r="O75" s="17" t="str">
        <f>INDEX(Active!K:K, MATCH(Spearmans2!L75, Active!F:F,0),1)</f>
        <v>Revised Index of catchment integrity (version 2.1) based on Johnson et al. 2018 STOTEN</v>
      </c>
      <c r="P75" s="45" t="s">
        <v>75</v>
      </c>
      <c r="Q75" s="17" t="s">
        <v>92</v>
      </c>
      <c r="R75" s="17" t="s">
        <v>252</v>
      </c>
      <c r="S75" s="18">
        <v>0.89561549647926419</v>
      </c>
    </row>
    <row r="76" spans="1:19" s="19" customFormat="1" x14ac:dyDescent="0.3">
      <c r="A76" s="37" t="s">
        <v>55</v>
      </c>
      <c r="B76" s="25" t="str">
        <f>IF(RIGHT(A76,2)="WS", LEFT(A76,LEN(A76)-2),A76)</f>
        <v>K2O</v>
      </c>
      <c r="C76" s="25" t="str">
        <f>INDEX(Active!J:J, MATCH(Spearmans2!B76, Active!F:F,0),1)</f>
        <v>InorgNWetDep</v>
      </c>
      <c r="D76" s="25" t="str">
        <f>INDEX(Active!B:B, MATCH(Spearmans2!B76, Active!F:F,0),1)</f>
        <v>Natural</v>
      </c>
      <c r="E76" s="25" t="str">
        <f>INDEX(Active!D:D, MATCH(Spearmans2!B76, Active!F:F,0),1)</f>
        <v>Lithology</v>
      </c>
      <c r="F76" s="25" t="str">
        <f>INDEX(Active!K:K, MATCH(Spearmans2!B76, Active!F:F,0),1)</f>
        <v>Mean % of lithological potassium oxide (K2O) content in surface or near surface geology within AOI</v>
      </c>
      <c r="G76" s="37" t="s">
        <v>268</v>
      </c>
      <c r="H76" s="25" t="s">
        <v>103</v>
      </c>
      <c r="I76" s="25" t="s">
        <v>104</v>
      </c>
      <c r="J76" s="25" t="s">
        <v>269</v>
      </c>
      <c r="K76" s="55" t="s">
        <v>58</v>
      </c>
      <c r="L76" s="26" t="str">
        <f>IF(RIGHT(K76,2)="WS", LEFT(K76,LEN(K76)-2),K76)</f>
        <v>MGO</v>
      </c>
      <c r="M76" s="26" t="str">
        <f>INDEX(Active!J:J, MATCH(Spearmans2!L76, Active!F:F,0),1)</f>
        <v>Mean Lithological Magnesium Oxide</v>
      </c>
      <c r="N76" s="26" t="str">
        <f>INDEX(Active!B:B, MATCH(Spearmans2!L76, Active!F:F,0),1)</f>
        <v>Natural</v>
      </c>
      <c r="O76" s="26" t="str">
        <f>INDEX(Active!K:K, MATCH(Spearmans2!L76, Active!F:F,0),1)</f>
        <v>Mean % of lithological magnesium oxide (MgO) content in surface or near surface geology within AOI</v>
      </c>
      <c r="P76" s="52" t="s">
        <v>288</v>
      </c>
      <c r="Q76" s="26" t="s">
        <v>103</v>
      </c>
      <c r="R76" s="26" t="s">
        <v>289</v>
      </c>
      <c r="S76" s="27">
        <v>-0.85383419209308531</v>
      </c>
    </row>
    <row r="77" spans="1:19" s="21" customFormat="1" x14ac:dyDescent="0.3">
      <c r="A77" s="38" t="s">
        <v>55</v>
      </c>
      <c r="B77" s="29" t="str">
        <f>IF(RIGHT(A77,2)="WS", LEFT(A77,LEN(A77)-2),A77)</f>
        <v>K2O</v>
      </c>
      <c r="C77" s="29" t="str">
        <f>INDEX(Active!J:J, MATCH(Spearmans2!B77, Active!F:F,0),1)</f>
        <v>InorgNWetDep</v>
      </c>
      <c r="D77" s="29" t="str">
        <f>INDEX(Active!B:B, MATCH(Spearmans2!B77, Active!F:F,0),1)</f>
        <v>Natural</v>
      </c>
      <c r="E77" s="29" t="str">
        <f>INDEX(Active!D:D, MATCH(Spearmans2!B77, Active!F:F,0),1)</f>
        <v>Lithology</v>
      </c>
      <c r="F77" s="29" t="str">
        <f>INDEX(Active!K:K, MATCH(Spearmans2!B77, Active!F:F,0),1)</f>
        <v>Mean % of lithological potassium oxide (K2O) content in surface or near surface geology within AOI</v>
      </c>
      <c r="G77" s="38" t="s">
        <v>268</v>
      </c>
      <c r="H77" s="29" t="s">
        <v>103</v>
      </c>
      <c r="I77" s="29" t="s">
        <v>104</v>
      </c>
      <c r="J77" s="29" t="s">
        <v>269</v>
      </c>
      <c r="K77" s="57" t="s">
        <v>54</v>
      </c>
      <c r="L77" s="30" t="str">
        <f>IF(RIGHT(K77,2)="WS", LEFT(K77,LEN(K77)-2),K77)</f>
        <v>SIO2</v>
      </c>
      <c r="M77" s="30" t="str">
        <f>INDEX(Active!J:J, MATCH(Spearmans2!L77, Active!F:F,0),1)</f>
        <v>Mean Lithological Silicon Dioxide</v>
      </c>
      <c r="N77" s="30" t="str">
        <f>INDEX(Active!B:B, MATCH(Spearmans2!L77, Active!F:F,0),1)</f>
        <v>Natural</v>
      </c>
      <c r="O77" s="30" t="str">
        <f>INDEX(Active!K:K, MATCH(Spearmans2!L77, Active!F:F,0),1)</f>
        <v>Mean % of lithological silicon dioxide (SiO2) content in surface or near surface geology within AOI</v>
      </c>
      <c r="P77" s="53" t="s">
        <v>659</v>
      </c>
      <c r="Q77" s="30" t="s">
        <v>103</v>
      </c>
      <c r="R77" s="30" t="s">
        <v>660</v>
      </c>
      <c r="S77" s="31">
        <v>0.83171271652443135</v>
      </c>
    </row>
    <row r="78" spans="1:19" s="19" customFormat="1" x14ac:dyDescent="0.3">
      <c r="A78" s="37" t="s">
        <v>12</v>
      </c>
      <c r="B78" s="25" t="str">
        <f>IF(RIGHT(A78,2)="WS", LEFT(A78,LEN(A78)-2),A78)</f>
        <v>MANURE</v>
      </c>
      <c r="C78" s="25" t="str">
        <f>INDEX(Active!J:J, MATCH(Spearmans2!B78, Active!F:F,0),1)</f>
        <v>Mean Manure Application Rate</v>
      </c>
      <c r="D78" s="25" t="str">
        <f>INDEX(Active!B:B, MATCH(Spearmans2!B78, Active!F:F,0),1)</f>
        <v>Anthropogenic</v>
      </c>
      <c r="E78" s="25" t="str">
        <f>INDEX(Active!D:D, MATCH(Spearmans2!B78, Active!F:F,0),1)</f>
        <v>Agriculture</v>
      </c>
      <c r="F78" s="25" t="str">
        <f>INDEX(Active!K:K, MATCH(Spearmans2!B78, Active!F:F,0),1)</f>
        <v>Mean rate of manure application to agricultural land from confined animal feeding operations in kg N/ha/yr, within AOI</v>
      </c>
      <c r="G78" s="37" t="s">
        <v>276</v>
      </c>
      <c r="H78" s="25" t="s">
        <v>92</v>
      </c>
      <c r="I78" s="25" t="s">
        <v>94</v>
      </c>
      <c r="J78" s="25" t="s">
        <v>277</v>
      </c>
      <c r="K78" s="55" t="s">
        <v>8</v>
      </c>
      <c r="L78" s="26" t="str">
        <f>IF(RIGHT(K78,2)="WS", LEFT(K78,LEN(K78)-2),K78)</f>
        <v>WDRW_LD</v>
      </c>
      <c r="M78" s="26" t="str">
        <f>INDEX(Active!J:J, MATCH(Spearmans2!L78, Active!F:F,0),1)</f>
        <v>Agricultural Fresh Surface-Water Withdraw</v>
      </c>
      <c r="N78" s="26" t="str">
        <f>INDEX(Active!B:B, MATCH(Spearmans2!L78, Active!F:F,0),1)</f>
        <v>Anthropogenic</v>
      </c>
      <c r="O78" s="26" t="str">
        <f>INDEX(Active!K:K, MATCH(Spearmans2!L78, Active!F:F,0),1)</f>
        <v>Total fresh surface-water withdrawals in agricultural land per AOI area (L/day)</v>
      </c>
      <c r="P78" s="52" t="s">
        <v>718</v>
      </c>
      <c r="Q78" s="26" t="s">
        <v>92</v>
      </c>
      <c r="R78" s="26" t="s">
        <v>719</v>
      </c>
      <c r="S78" s="27">
        <v>0.8252050361178036</v>
      </c>
    </row>
    <row r="79" spans="1:19" s="20" customFormat="1" x14ac:dyDescent="0.3">
      <c r="A79" s="33" t="s">
        <v>12</v>
      </c>
      <c r="B79" s="23" t="str">
        <f>IF(RIGHT(A79,2)="WS", LEFT(A79,LEN(A79)-2),A79)</f>
        <v>MANURE</v>
      </c>
      <c r="C79" s="23" t="str">
        <f>INDEX(Active!J:J, MATCH(Spearmans2!B79, Active!F:F,0),1)</f>
        <v>Mean Manure Application Rate</v>
      </c>
      <c r="D79" s="23" t="str">
        <f>INDEX(Active!B:B, MATCH(Spearmans2!B79, Active!F:F,0),1)</f>
        <v>Anthropogenic</v>
      </c>
      <c r="E79" s="23" t="str">
        <f>INDEX(Active!D:D, MATCH(Spearmans2!B79, Active!F:F,0),1)</f>
        <v>Agriculture</v>
      </c>
      <c r="F79" s="23" t="str">
        <f>INDEX(Active!K:K, MATCH(Spearmans2!B79, Active!F:F,0),1)</f>
        <v>Mean rate of manure application to agricultural land from confined animal feeding operations in kg N/ha/yr, within AOI</v>
      </c>
      <c r="G79" s="33" t="s">
        <v>276</v>
      </c>
      <c r="H79" s="23" t="s">
        <v>92</v>
      </c>
      <c r="I79" s="23" t="s">
        <v>94</v>
      </c>
      <c r="J79" s="23" t="s">
        <v>277</v>
      </c>
      <c r="K79" s="56" t="s">
        <v>11</v>
      </c>
      <c r="L79" s="24" t="str">
        <f>IF(RIGHT(K79,2)="WS", LEFT(K79,LEN(K79)-2),K79)</f>
        <v>CBNF</v>
      </c>
      <c r="M79" s="24" t="str">
        <f>INDEX(Active!J:J, MATCH(Spearmans2!L79, Active!F:F,0),1)</f>
        <v>Cultivated Biological Nitrogen Fixation Mean Rate</v>
      </c>
      <c r="N79" s="24" t="str">
        <f>INDEX(Active!B:B, MATCH(Spearmans2!L79, Active!F:F,0),1)</f>
        <v>Anthropogenic</v>
      </c>
      <c r="O79" s="24" t="str">
        <f>INDEX(Active!K:K, MATCH(Spearmans2!L79, Active!F:F,0),1)</f>
        <v>Mean rate of biological nitrogen fixation from the cultivation of crops in kg N/ha/yr, within AOI</v>
      </c>
      <c r="P79" s="34" t="s">
        <v>168</v>
      </c>
      <c r="Q79" s="24" t="s">
        <v>92</v>
      </c>
      <c r="R79" s="24" t="s">
        <v>169</v>
      </c>
      <c r="S79" s="28">
        <v>0.85548924333491405</v>
      </c>
    </row>
    <row r="80" spans="1:19" s="20" customFormat="1" x14ac:dyDescent="0.3">
      <c r="A80" s="33" t="s">
        <v>12</v>
      </c>
      <c r="B80" s="23" t="str">
        <f>IF(RIGHT(A80,2)="WS", LEFT(A80,LEN(A80)-2),A80)</f>
        <v>MANURE</v>
      </c>
      <c r="C80" s="23" t="str">
        <f>INDEX(Active!J:J, MATCH(Spearmans2!B80, Active!F:F,0),1)</f>
        <v>Mean Manure Application Rate</v>
      </c>
      <c r="D80" s="23" t="str">
        <f>INDEX(Active!B:B, MATCH(Spearmans2!B80, Active!F:F,0),1)</f>
        <v>Anthropogenic</v>
      </c>
      <c r="E80" s="23" t="str">
        <f>INDEX(Active!D:D, MATCH(Spearmans2!B80, Active!F:F,0),1)</f>
        <v>Agriculture</v>
      </c>
      <c r="F80" s="23" t="str">
        <f>INDEX(Active!K:K, MATCH(Spearmans2!B80, Active!F:F,0),1)</f>
        <v>Mean rate of manure application to agricultural land from confined animal feeding operations in kg N/ha/yr, within AOI</v>
      </c>
      <c r="G80" s="33" t="s">
        <v>276</v>
      </c>
      <c r="H80" s="23" t="s">
        <v>92</v>
      </c>
      <c r="I80" s="23" t="s">
        <v>94</v>
      </c>
      <c r="J80" s="23" t="s">
        <v>277</v>
      </c>
      <c r="K80" s="56" t="s">
        <v>10</v>
      </c>
      <c r="L80" s="24" t="str">
        <f>IF(RIGHT(K80,2)="WS", LEFT(K80,LEN(K80)-2),K80)</f>
        <v>AGKFFACT</v>
      </c>
      <c r="M80" s="24" t="str">
        <f>INDEX(Active!J:J, MATCH(Spearmans2!L80, Active!F:F,0),1)</f>
        <v>Ag Soil Erodibility Kf Factor</v>
      </c>
      <c r="N80" s="24" t="str">
        <f>INDEX(Active!B:B, MATCH(Spearmans2!L80, Active!F:F,0),1)</f>
        <v>Anthropogenic</v>
      </c>
      <c r="O80" s="24" t="str">
        <f>INDEX(Active!K:K, MATCH(Spearmans2!L80,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80" s="34" t="s">
        <v>98</v>
      </c>
      <c r="Q80" s="24" t="s">
        <v>92</v>
      </c>
      <c r="R80" s="24" t="s">
        <v>99</v>
      </c>
      <c r="S80" s="28">
        <v>0.85980818206666132</v>
      </c>
    </row>
    <row r="81" spans="1:19" s="21" customFormat="1" x14ac:dyDescent="0.3">
      <c r="A81" s="38" t="s">
        <v>12</v>
      </c>
      <c r="B81" s="29" t="str">
        <f>IF(RIGHT(A81,2)="WS", LEFT(A81,LEN(A81)-2),A81)</f>
        <v>MANURE</v>
      </c>
      <c r="C81" s="29" t="str">
        <f>INDEX(Active!J:J, MATCH(Spearmans2!B81, Active!F:F,0),1)</f>
        <v>Mean Manure Application Rate</v>
      </c>
      <c r="D81" s="29" t="str">
        <f>INDEX(Active!B:B, MATCH(Spearmans2!B81, Active!F:F,0),1)</f>
        <v>Anthropogenic</v>
      </c>
      <c r="E81" s="29" t="str">
        <f>INDEX(Active!D:D, MATCH(Spearmans2!B81, Active!F:F,0),1)</f>
        <v>Agriculture</v>
      </c>
      <c r="F81" s="29" t="str">
        <f>INDEX(Active!K:K, MATCH(Spearmans2!B81, Active!F:F,0),1)</f>
        <v>Mean rate of manure application to agricultural land from confined animal feeding operations in kg N/ha/yr, within AOI</v>
      </c>
      <c r="G81" s="38" t="s">
        <v>276</v>
      </c>
      <c r="H81" s="29" t="s">
        <v>92</v>
      </c>
      <c r="I81" s="29" t="s">
        <v>94</v>
      </c>
      <c r="J81" s="29" t="s">
        <v>277</v>
      </c>
      <c r="K81" s="57" t="s">
        <v>13</v>
      </c>
      <c r="L81" s="30" t="str">
        <f>IF(RIGHT(K81,2)="WS", LEFT(K81,LEN(K81)-2),K81)</f>
        <v>FERT</v>
      </c>
      <c r="M81" s="30" t="str">
        <f>INDEX(Active!J:J, MATCH(Spearmans2!L81, Active!F:F,0),1)</f>
        <v>Synthetic Nitrogen Fertilizer Application Mean Rate</v>
      </c>
      <c r="N81" s="30" t="str">
        <f>INDEX(Active!B:B, MATCH(Spearmans2!L81, Active!F:F,0),1)</f>
        <v>Anthropogenic</v>
      </c>
      <c r="O81" s="30" t="str">
        <f>INDEX(Active!K:K, MATCH(Spearmans2!L81, Active!F:F,0),1)</f>
        <v>Mean rate of synthetic nitrogen fertilizer application to agricultural land in kg N/ha/yr, within the AOI</v>
      </c>
      <c r="P81" s="53" t="s">
        <v>226</v>
      </c>
      <c r="Q81" s="30" t="s">
        <v>92</v>
      </c>
      <c r="R81" s="30" t="s">
        <v>227</v>
      </c>
      <c r="S81" s="31">
        <v>0.87360987114310895</v>
      </c>
    </row>
    <row r="82" spans="1:19" s="19" customFormat="1" x14ac:dyDescent="0.3">
      <c r="A82" s="37" t="s">
        <v>26</v>
      </c>
      <c r="B82" s="25" t="str">
        <f>IF(RIGHT(A82,2)="WS", LEFT(A82,LEN(A82)-2),A82)</f>
        <v>MAST2008</v>
      </c>
      <c r="C82" s="25" t="str">
        <f>INDEX(Active!J:J, MATCH(Spearmans2!B82, Active!F:F,0),1)</f>
        <v>Mean Annual Stream Temp</v>
      </c>
      <c r="D82" s="25" t="str">
        <f>INDEX(Active!B:B, MATCH(Spearmans2!B82, Active!F:F,0),1)</f>
        <v>Natural</v>
      </c>
      <c r="E82" s="25" t="str">
        <f>INDEX(Active!D:D, MATCH(Spearmans2!B82, Active!F:F,0),1)</f>
        <v>Other</v>
      </c>
      <c r="F82" s="25" t="str">
        <f>INDEX(Active!K:K, MATCH(Spearmans2!B82, Active!F:F,0),1)</f>
        <v>Predicted mean annual stream temperature (Jan-Dec) for year 2008, 2009, 2013, 2014</v>
      </c>
      <c r="G82" s="37" t="s">
        <v>281</v>
      </c>
      <c r="H82" s="25" t="s">
        <v>103</v>
      </c>
      <c r="I82" s="25" t="s">
        <v>123</v>
      </c>
      <c r="J82" s="25" t="s">
        <v>282</v>
      </c>
      <c r="K82" s="55" t="s">
        <v>34</v>
      </c>
      <c r="L82" s="26" t="str">
        <f>IF(RIGHT(K82,2)="WS", LEFT(K82,LEN(K82)-2),K82)</f>
        <v>BFI</v>
      </c>
      <c r="M82" s="26" t="str">
        <f>INDEX(Active!J:J, MATCH(Spearmans2!L82, Active!F:F,0),1)</f>
        <v>Base Flow Index</v>
      </c>
      <c r="N82" s="26" t="str">
        <f>INDEX(Active!B:B, MATCH(Spearmans2!L82, Active!F:F,0),1)</f>
        <v>Natural</v>
      </c>
      <c r="O82" s="26" t="str">
        <f>INDEX(Active!K:K, MATCH(Spearmans2!L82, Active!F:F,0),1)</f>
        <v>Base flow is the component of streamflow that can be attributed to ground-water discharge into streams. The BFI is the ratio of base flow to total flow, expressed as a percentage, within AOI</v>
      </c>
      <c r="P82" s="52" t="s">
        <v>137</v>
      </c>
      <c r="Q82" s="26" t="s">
        <v>103</v>
      </c>
      <c r="R82" s="26" t="s">
        <v>138</v>
      </c>
      <c r="S82" s="27">
        <v>-0.85416733474597839</v>
      </c>
    </row>
    <row r="83" spans="1:19" s="20" customFormat="1" x14ac:dyDescent="0.3">
      <c r="A83" s="33" t="s">
        <v>26</v>
      </c>
      <c r="B83" s="23" t="str">
        <f>IF(RIGHT(A83,2)="WS", LEFT(A83,LEN(A83)-2),A83)</f>
        <v>MAST2008</v>
      </c>
      <c r="C83" s="23" t="str">
        <f>INDEX(Active!J:J, MATCH(Spearmans2!B83, Active!F:F,0),1)</f>
        <v>Mean Annual Stream Temp</v>
      </c>
      <c r="D83" s="23" t="str">
        <f>INDEX(Active!B:B, MATCH(Spearmans2!B83, Active!F:F,0),1)</f>
        <v>Natural</v>
      </c>
      <c r="E83" s="23" t="str">
        <f>INDEX(Active!D:D, MATCH(Spearmans2!B83, Active!F:F,0),1)</f>
        <v>Other</v>
      </c>
      <c r="F83" s="23" t="str">
        <f>INDEX(Active!K:K, MATCH(Spearmans2!B83, Active!F:F,0),1)</f>
        <v>Predicted mean annual stream temperature (Jan-Dec) for year 2008, 2009, 2013, 2014</v>
      </c>
      <c r="G83" s="33" t="s">
        <v>281</v>
      </c>
      <c r="H83" s="23" t="s">
        <v>103</v>
      </c>
      <c r="I83" s="23" t="s">
        <v>123</v>
      </c>
      <c r="J83" s="23" t="s">
        <v>282</v>
      </c>
      <c r="K83" s="56" t="s">
        <v>25</v>
      </c>
      <c r="L83" s="24" t="str">
        <f>IF(RIGHT(K83,2)="WS", LEFT(K83,LEN(K83)-2),K83)</f>
        <v>TMIN9120</v>
      </c>
      <c r="M83" s="24" t="str">
        <f>INDEX(Active!J:J, MATCH(Spearmans2!L83, Active!F:F,0),1)</f>
        <v>30-year Average Annual Normal Minimum Air Temperature</v>
      </c>
      <c r="N83" s="24" t="str">
        <f>INDEX(Active!B:B, MATCH(Spearmans2!L83, Active!F:F,0),1)</f>
        <v>Natural</v>
      </c>
      <c r="O83" s="24" t="str">
        <f>INDEX(Active!K:K, MATCH(Spearmans2!L83, Active!F:F,0),1)</f>
        <v>PRISM climate data - 30-year normal minimum temperature (CÂ°): Annual period: 1991-2020 within the AOI</v>
      </c>
      <c r="P83" s="34" t="s">
        <v>702</v>
      </c>
      <c r="Q83" s="24" t="s">
        <v>103</v>
      </c>
      <c r="R83" s="24" t="s">
        <v>706</v>
      </c>
      <c r="S83" s="28">
        <v>0.80061073406767791</v>
      </c>
    </row>
    <row r="84" spans="1:19" s="20" customFormat="1" x14ac:dyDescent="0.3">
      <c r="A84" s="33" t="s">
        <v>26</v>
      </c>
      <c r="B84" s="23" t="str">
        <f>IF(RIGHT(A84,2)="WS", LEFT(A84,LEN(A84)-2),A84)</f>
        <v>MAST2008</v>
      </c>
      <c r="C84" s="23" t="str">
        <f>INDEX(Active!J:J, MATCH(Spearmans2!B84, Active!F:F,0),1)</f>
        <v>Mean Annual Stream Temp</v>
      </c>
      <c r="D84" s="23" t="str">
        <f>INDEX(Active!B:B, MATCH(Spearmans2!B84, Active!F:F,0),1)</f>
        <v>Natural</v>
      </c>
      <c r="E84" s="23" t="str">
        <f>INDEX(Active!D:D, MATCH(Spearmans2!B84, Active!F:F,0),1)</f>
        <v>Other</v>
      </c>
      <c r="F84" s="23" t="str">
        <f>INDEX(Active!K:K, MATCH(Spearmans2!B84, Active!F:F,0),1)</f>
        <v>Predicted mean annual stream temperature (Jan-Dec) for year 2008, 2009, 2013, 2014</v>
      </c>
      <c r="G84" s="33" t="s">
        <v>281</v>
      </c>
      <c r="H84" s="23" t="s">
        <v>103</v>
      </c>
      <c r="I84" s="23" t="s">
        <v>123</v>
      </c>
      <c r="J84" s="23" t="s">
        <v>282</v>
      </c>
      <c r="K84" s="56" t="s">
        <v>22</v>
      </c>
      <c r="L84" s="24" t="str">
        <f>IF(RIGHT(K84,2)="WS", LEFT(K84,LEN(K84)-2),K84)</f>
        <v>TMEAN2008</v>
      </c>
      <c r="M84" s="24" t="str">
        <f>INDEX(Active!J:J, MATCH(Spearmans2!L84, Active!F:F,0),1)</f>
        <v>Mean Air Temperature</v>
      </c>
      <c r="N84" s="24" t="str">
        <f>INDEX(Active!B:B, MATCH(Spearmans2!L84, Active!F:F,0),1)</f>
        <v>Natural</v>
      </c>
      <c r="O84" s="24" t="str">
        <f>INDEX(Active!K:K, MATCH(Spearmans2!L84, Active!F:F,0),1)</f>
        <v>PRISM climate data - Mean temperature (°C) within the AOI. Period: 2008 and 2009</v>
      </c>
      <c r="P84" s="34" t="s">
        <v>691</v>
      </c>
      <c r="Q84" s="24" t="s">
        <v>103</v>
      </c>
      <c r="R84" s="24" t="s">
        <v>692</v>
      </c>
      <c r="S84" s="28">
        <v>0.86591390552759051</v>
      </c>
    </row>
    <row r="85" spans="1:19" s="20" customFormat="1" x14ac:dyDescent="0.3">
      <c r="A85" s="33" t="s">
        <v>26</v>
      </c>
      <c r="B85" s="23" t="str">
        <f>IF(RIGHT(A85,2)="WS", LEFT(A85,LEN(A85)-2),A85)</f>
        <v>MAST2008</v>
      </c>
      <c r="C85" s="23" t="str">
        <f>INDEX(Active!J:J, MATCH(Spearmans2!B85, Active!F:F,0),1)</f>
        <v>Mean Annual Stream Temp</v>
      </c>
      <c r="D85" s="23" t="str">
        <f>INDEX(Active!B:B, MATCH(Spearmans2!B85, Active!F:F,0),1)</f>
        <v>Natural</v>
      </c>
      <c r="E85" s="23" t="str">
        <f>INDEX(Active!D:D, MATCH(Spearmans2!B85, Active!F:F,0),1)</f>
        <v>Other</v>
      </c>
      <c r="F85" s="23" t="str">
        <f>INDEX(Active!K:K, MATCH(Spearmans2!B85, Active!F:F,0),1)</f>
        <v>Predicted mean annual stream temperature (Jan-Dec) for year 2008, 2009, 2013, 2014</v>
      </c>
      <c r="G85" s="33" t="s">
        <v>281</v>
      </c>
      <c r="H85" s="23" t="s">
        <v>103</v>
      </c>
      <c r="I85" s="23" t="s">
        <v>123</v>
      </c>
      <c r="J85" s="23" t="s">
        <v>282</v>
      </c>
      <c r="K85" s="56" t="s">
        <v>20</v>
      </c>
      <c r="L85" s="24" t="str">
        <f>IF(RIGHT(K85,2)="WS", LEFT(K85,LEN(K85)-2),K85)</f>
        <v>TMEAN8110</v>
      </c>
      <c r="M85" s="24" t="str">
        <f>INDEX(Active!J:J, MATCH(Spearmans2!L85, Active!F:F,0),1)</f>
        <v>30-year Mean Annual Air Temperature</v>
      </c>
      <c r="N85" s="24" t="str">
        <f>INDEX(Active!B:B, MATCH(Spearmans2!L85, Active!F:F,0),1)</f>
        <v>Natural</v>
      </c>
      <c r="O85" s="24" t="str">
        <f>INDEX(Active!K:K, MATCH(Spearmans2!L85, Active!F:F,0),1)</f>
        <v>PRISM climate data - 30-year normal mean temperature (CÂ°): Annual period: 1981-2010 within the AOI</v>
      </c>
      <c r="P85" s="34" t="s">
        <v>695</v>
      </c>
      <c r="Q85" s="24" t="s">
        <v>103</v>
      </c>
      <c r="R85" s="24" t="s">
        <v>696</v>
      </c>
      <c r="S85" s="28">
        <v>0.86664179868367297</v>
      </c>
    </row>
    <row r="86" spans="1:19" s="20" customFormat="1" x14ac:dyDescent="0.3">
      <c r="A86" s="33" t="s">
        <v>26</v>
      </c>
      <c r="B86" s="23" t="str">
        <f>IF(RIGHT(A86,2)="WS", LEFT(A86,LEN(A86)-2),A86)</f>
        <v>MAST2008</v>
      </c>
      <c r="C86" s="23" t="str">
        <f>INDEX(Active!J:J, MATCH(Spearmans2!B86, Active!F:F,0),1)</f>
        <v>Mean Annual Stream Temp</v>
      </c>
      <c r="D86" s="23" t="str">
        <f>INDEX(Active!B:B, MATCH(Spearmans2!B86, Active!F:F,0),1)</f>
        <v>Natural</v>
      </c>
      <c r="E86" s="23" t="str">
        <f>INDEX(Active!D:D, MATCH(Spearmans2!B86, Active!F:F,0),1)</f>
        <v>Other</v>
      </c>
      <c r="F86" s="23" t="str">
        <f>INDEX(Active!K:K, MATCH(Spearmans2!B86, Active!F:F,0),1)</f>
        <v>Predicted mean annual stream temperature (Jan-Dec) for year 2008, 2009, 2013, 2014</v>
      </c>
      <c r="G86" s="33" t="s">
        <v>281</v>
      </c>
      <c r="H86" s="23" t="s">
        <v>103</v>
      </c>
      <c r="I86" s="23" t="s">
        <v>123</v>
      </c>
      <c r="J86" s="23" t="s">
        <v>282</v>
      </c>
      <c r="K86" s="56" t="s">
        <v>24</v>
      </c>
      <c r="L86" s="24" t="str">
        <f>IF(RIGHT(K86,2)="WS", LEFT(K86,LEN(K86)-2),K86)</f>
        <v>TMEAN9120</v>
      </c>
      <c r="M86" s="24" t="str">
        <f>INDEX(Active!J:J, MATCH(Spearmans2!L86, Active!F:F,0),1)</f>
        <v>30-year Mean Annual Air Temperature</v>
      </c>
      <c r="N86" s="24" t="str">
        <f>INDEX(Active!B:B, MATCH(Spearmans2!L86, Active!F:F,0),1)</f>
        <v>Natural</v>
      </c>
      <c r="O86" s="24" t="str">
        <f>INDEX(Active!K:K, MATCH(Spearmans2!L86, Active!F:F,0),1)</f>
        <v>PRISM climate data - 30-year normal mean temperature (CÂ°): Annual period: 1991-2020 within the AOI</v>
      </c>
      <c r="P86" s="34" t="s">
        <v>695</v>
      </c>
      <c r="Q86" s="24" t="s">
        <v>103</v>
      </c>
      <c r="R86" s="24" t="s">
        <v>699</v>
      </c>
      <c r="S86" s="28">
        <v>0.87118397171693873</v>
      </c>
    </row>
    <row r="87" spans="1:19" s="20" customFormat="1" x14ac:dyDescent="0.3">
      <c r="A87" s="33" t="s">
        <v>26</v>
      </c>
      <c r="B87" s="23" t="str">
        <f>IF(RIGHT(A87,2)="WS", LEFT(A87,LEN(A87)-2),A87)</f>
        <v>MAST2008</v>
      </c>
      <c r="C87" s="23" t="str">
        <f>INDEX(Active!J:J, MATCH(Spearmans2!B87, Active!F:F,0),1)</f>
        <v>Mean Annual Stream Temp</v>
      </c>
      <c r="D87" s="23" t="str">
        <f>INDEX(Active!B:B, MATCH(Spearmans2!B87, Active!F:F,0),1)</f>
        <v>Natural</v>
      </c>
      <c r="E87" s="23" t="str">
        <f>INDEX(Active!D:D, MATCH(Spearmans2!B87, Active!F:F,0),1)</f>
        <v>Other</v>
      </c>
      <c r="F87" s="23" t="str">
        <f>INDEX(Active!K:K, MATCH(Spearmans2!B87, Active!F:F,0),1)</f>
        <v>Predicted mean annual stream temperature (Jan-Dec) for year 2008, 2009, 2013, 2014</v>
      </c>
      <c r="G87" s="33" t="s">
        <v>281</v>
      </c>
      <c r="H87" s="23" t="s">
        <v>103</v>
      </c>
      <c r="I87" s="23" t="s">
        <v>123</v>
      </c>
      <c r="J87" s="23" t="s">
        <v>282</v>
      </c>
      <c r="K87" s="56" t="s">
        <v>19</v>
      </c>
      <c r="L87" s="24" t="str">
        <f>IF(RIGHT(K87,2)="WS", LEFT(K87,LEN(K87)-2),K87)</f>
        <v>TMAX8110</v>
      </c>
      <c r="M87" s="24" t="str">
        <f>INDEX(Active!J:J, MATCH(Spearmans2!L87, Active!F:F,0),1)</f>
        <v>30-year Average Annual Normal Maximum Air Temperature</v>
      </c>
      <c r="N87" s="24" t="str">
        <f>INDEX(Active!B:B, MATCH(Spearmans2!L87, Active!F:F,0),1)</f>
        <v>Natural</v>
      </c>
      <c r="O87" s="24" t="str">
        <f>INDEX(Active!K:K, MATCH(Spearmans2!L87, Active!F:F,0),1)</f>
        <v>PRISM climate data - 30-year normal maximum temperature (CÂ°): Annual period: 1981-2010 within the AOI</v>
      </c>
      <c r="P87" s="34" t="s">
        <v>684</v>
      </c>
      <c r="Q87" s="24" t="s">
        <v>103</v>
      </c>
      <c r="R87" s="24" t="s">
        <v>685</v>
      </c>
      <c r="S87" s="28">
        <v>0.87754138741622489</v>
      </c>
    </row>
    <row r="88" spans="1:19" s="21" customFormat="1" x14ac:dyDescent="0.3">
      <c r="A88" s="38" t="s">
        <v>26</v>
      </c>
      <c r="B88" s="29" t="str">
        <f>IF(RIGHT(A88,2)="WS", LEFT(A88,LEN(A88)-2),A88)</f>
        <v>MAST2008</v>
      </c>
      <c r="C88" s="29" t="str">
        <f>INDEX(Active!J:J, MATCH(Spearmans2!B88, Active!F:F,0),1)</f>
        <v>Mean Annual Stream Temp</v>
      </c>
      <c r="D88" s="29" t="str">
        <f>INDEX(Active!B:B, MATCH(Spearmans2!B88, Active!F:F,0),1)</f>
        <v>Natural</v>
      </c>
      <c r="E88" s="29" t="str">
        <f>INDEX(Active!D:D, MATCH(Spearmans2!B88, Active!F:F,0),1)</f>
        <v>Other</v>
      </c>
      <c r="F88" s="29" t="str">
        <f>INDEX(Active!K:K, MATCH(Spearmans2!B88, Active!F:F,0),1)</f>
        <v>Predicted mean annual stream temperature (Jan-Dec) for year 2008, 2009, 2013, 2014</v>
      </c>
      <c r="G88" s="38" t="s">
        <v>281</v>
      </c>
      <c r="H88" s="29" t="s">
        <v>103</v>
      </c>
      <c r="I88" s="29" t="s">
        <v>123</v>
      </c>
      <c r="J88" s="29" t="s">
        <v>282</v>
      </c>
      <c r="K88" s="57" t="s">
        <v>23</v>
      </c>
      <c r="L88" s="30" t="str">
        <f>IF(RIGHT(K88,2)="WS", LEFT(K88,LEN(K88)-2),K88)</f>
        <v>TMAX9120</v>
      </c>
      <c r="M88" s="30" t="str">
        <f>INDEX(Active!J:J, MATCH(Spearmans2!L88, Active!F:F,0),1)</f>
        <v>30-year Average Annual Normal Maximum Air Temperature</v>
      </c>
      <c r="N88" s="30" t="str">
        <f>INDEX(Active!B:B, MATCH(Spearmans2!L88, Active!F:F,0),1)</f>
        <v>Natural</v>
      </c>
      <c r="O88" s="30" t="str">
        <f>INDEX(Active!K:K, MATCH(Spearmans2!L88, Active!F:F,0),1)</f>
        <v>PRISM climate data - 30-year normal maximum temperature (CÂ°): Annual period: 1991-2020 within the AOI</v>
      </c>
      <c r="P88" s="53" t="s">
        <v>684</v>
      </c>
      <c r="Q88" s="30" t="s">
        <v>103</v>
      </c>
      <c r="R88" s="30" t="s">
        <v>688</v>
      </c>
      <c r="S88" s="31">
        <v>0.87815354140140345</v>
      </c>
    </row>
    <row r="89" spans="1:19" s="19" customFormat="1" x14ac:dyDescent="0.3">
      <c r="A89" s="37" t="s">
        <v>58</v>
      </c>
      <c r="B89" s="25" t="str">
        <f>IF(RIGHT(A89,2)="WS", LEFT(A89,LEN(A89)-2),A89)</f>
        <v>MGO</v>
      </c>
      <c r="C89" s="25" t="str">
        <f>INDEX(Active!J:J, MATCH(Spearmans2!B89, Active!F:F,0),1)</f>
        <v>Mean Lithological Magnesium Oxide</v>
      </c>
      <c r="D89" s="25" t="str">
        <f>INDEX(Active!B:B, MATCH(Spearmans2!B89, Active!F:F,0),1)</f>
        <v>Natural</v>
      </c>
      <c r="E89" s="25" t="str">
        <f>INDEX(Active!D:D, MATCH(Spearmans2!B89, Active!F:F,0),1)</f>
        <v>Lithology</v>
      </c>
      <c r="F89" s="25" t="str">
        <f>INDEX(Active!K:K, MATCH(Spearmans2!B89, Active!F:F,0),1)</f>
        <v>Mean % of lithological magnesium oxide (MgO) content in surface or near surface geology within AOI</v>
      </c>
      <c r="G89" s="37" t="s">
        <v>288</v>
      </c>
      <c r="H89" s="25" t="s">
        <v>103</v>
      </c>
      <c r="I89" s="25" t="s">
        <v>104</v>
      </c>
      <c r="J89" s="25" t="s">
        <v>289</v>
      </c>
      <c r="K89" s="55" t="s">
        <v>54</v>
      </c>
      <c r="L89" s="26" t="str">
        <f>IF(RIGHT(K89,2)="WS", LEFT(K89,LEN(K89)-2),K89)</f>
        <v>SIO2</v>
      </c>
      <c r="M89" s="26" t="str">
        <f>INDEX(Active!J:J, MATCH(Spearmans2!L89, Active!F:F,0),1)</f>
        <v>Mean Lithological Silicon Dioxide</v>
      </c>
      <c r="N89" s="26" t="str">
        <f>INDEX(Active!B:B, MATCH(Spearmans2!L89, Active!F:F,0),1)</f>
        <v>Natural</v>
      </c>
      <c r="O89" s="26" t="str">
        <f>INDEX(Active!K:K, MATCH(Spearmans2!L89, Active!F:F,0),1)</f>
        <v>Mean % of lithological silicon dioxide (SiO2) content in surface or near surface geology within AOI</v>
      </c>
      <c r="P89" s="52" t="s">
        <v>659</v>
      </c>
      <c r="Q89" s="26" t="s">
        <v>103</v>
      </c>
      <c r="R89" s="26" t="s">
        <v>660</v>
      </c>
      <c r="S89" s="27">
        <v>-0.91294999408061905</v>
      </c>
    </row>
    <row r="90" spans="1:19" s="20" customFormat="1" x14ac:dyDescent="0.3">
      <c r="A90" s="33" t="s">
        <v>58</v>
      </c>
      <c r="B90" s="23" t="str">
        <f>IF(RIGHT(A90,2)="WS", LEFT(A90,LEN(A90)-2),A90)</f>
        <v>MGO</v>
      </c>
      <c r="C90" s="23" t="str">
        <f>INDEX(Active!J:J, MATCH(Spearmans2!B90, Active!F:F,0),1)</f>
        <v>Mean Lithological Magnesium Oxide</v>
      </c>
      <c r="D90" s="23" t="str">
        <f>INDEX(Active!B:B, MATCH(Spearmans2!B90, Active!F:F,0),1)</f>
        <v>Natural</v>
      </c>
      <c r="E90" s="23" t="str">
        <f>INDEX(Active!D:D, MATCH(Spearmans2!B90, Active!F:F,0),1)</f>
        <v>Lithology</v>
      </c>
      <c r="F90" s="23" t="str">
        <f>INDEX(Active!K:K, MATCH(Spearmans2!B90, Active!F:F,0),1)</f>
        <v>Mean % of lithological magnesium oxide (MgO) content in surface or near surface geology within AOI</v>
      </c>
      <c r="G90" s="33" t="s">
        <v>288</v>
      </c>
      <c r="H90" s="23" t="s">
        <v>103</v>
      </c>
      <c r="I90" s="23" t="s">
        <v>104</v>
      </c>
      <c r="J90" s="23" t="s">
        <v>289</v>
      </c>
      <c r="K90" s="56" t="s">
        <v>55</v>
      </c>
      <c r="L90" s="24" t="str">
        <f>IF(RIGHT(K90,2)="WS", LEFT(K90,LEN(K90)-2),K90)</f>
        <v>K2O</v>
      </c>
      <c r="M90" s="24" t="str">
        <f>INDEX(Active!J:J, MATCH(Spearmans2!L90, Active!F:F,0),1)</f>
        <v>InorgNWetDep</v>
      </c>
      <c r="N90" s="24" t="str">
        <f>INDEX(Active!B:B, MATCH(Spearmans2!L90, Active!F:F,0),1)</f>
        <v>Natural</v>
      </c>
      <c r="O90" s="24" t="str">
        <f>INDEX(Active!K:K, MATCH(Spearmans2!L90, Active!F:F,0),1)</f>
        <v>Mean % of lithological potassium oxide (K2O) content in surface or near surface geology within AOI</v>
      </c>
      <c r="P90" s="34" t="s">
        <v>268</v>
      </c>
      <c r="Q90" s="24" t="s">
        <v>103</v>
      </c>
      <c r="R90" s="24" t="s">
        <v>269</v>
      </c>
      <c r="S90" s="28">
        <v>-0.85383419209308531</v>
      </c>
    </row>
    <row r="91" spans="1:19" s="20" customFormat="1" x14ac:dyDescent="0.3">
      <c r="A91" s="33" t="s">
        <v>58</v>
      </c>
      <c r="B91" s="23" t="str">
        <f>IF(RIGHT(A91,2)="WS", LEFT(A91,LEN(A91)-2),A91)</f>
        <v>MGO</v>
      </c>
      <c r="C91" s="23" t="str">
        <f>INDEX(Active!J:J, MATCH(Spearmans2!B91, Active!F:F,0),1)</f>
        <v>Mean Lithological Magnesium Oxide</v>
      </c>
      <c r="D91" s="23" t="str">
        <f>INDEX(Active!B:B, MATCH(Spearmans2!B91, Active!F:F,0),1)</f>
        <v>Natural</v>
      </c>
      <c r="E91" s="23" t="str">
        <f>INDEX(Active!D:D, MATCH(Spearmans2!B91, Active!F:F,0),1)</f>
        <v>Lithology</v>
      </c>
      <c r="F91" s="23" t="str">
        <f>INDEX(Active!K:K, MATCH(Spearmans2!B91, Active!F:F,0),1)</f>
        <v>Mean % of lithological magnesium oxide (MgO) content in surface or near surface geology within AOI</v>
      </c>
      <c r="G91" s="33" t="s">
        <v>288</v>
      </c>
      <c r="H91" s="23" t="s">
        <v>103</v>
      </c>
      <c r="I91" s="23" t="s">
        <v>104</v>
      </c>
      <c r="J91" s="23" t="s">
        <v>289</v>
      </c>
      <c r="K91" s="56" t="s">
        <v>52</v>
      </c>
      <c r="L91" s="24" t="str">
        <f>IF(RIGHT(K91,2)="WS", LEFT(K91,LEN(K91)-2),K91)</f>
        <v>P2O5</v>
      </c>
      <c r="M91" s="24" t="str">
        <f>INDEX(Active!J:J, MATCH(Spearmans2!L91, Active!F:F,0),1)</f>
        <v>Mean Lithological Phosphorous Oxide</v>
      </c>
      <c r="N91" s="24" t="str">
        <f>INDEX(Active!B:B, MATCH(Spearmans2!L91, Active!F:F,0),1)</f>
        <v>Natural</v>
      </c>
      <c r="O91" s="24" t="str">
        <f>INDEX(Active!K:K, MATCH(Spearmans2!L91, Active!F:F,0),1)</f>
        <v>Mean % of lithological phosphorous oxide (P2O5) content in surface or near surface geology within AOI</v>
      </c>
      <c r="P91" s="34" t="s">
        <v>349</v>
      </c>
      <c r="Q91" s="24" t="s">
        <v>103</v>
      </c>
      <c r="R91" s="24" t="s">
        <v>350</v>
      </c>
      <c r="S91" s="28">
        <v>0.80876958246404151</v>
      </c>
    </row>
    <row r="92" spans="1:19" s="21" customFormat="1" x14ac:dyDescent="0.3">
      <c r="A92" s="38" t="s">
        <v>58</v>
      </c>
      <c r="B92" s="29" t="str">
        <f>IF(RIGHT(A92,2)="WS", LEFT(A92,LEN(A92)-2),A92)</f>
        <v>MGO</v>
      </c>
      <c r="C92" s="29" t="str">
        <f>INDEX(Active!J:J, MATCH(Spearmans2!B92, Active!F:F,0),1)</f>
        <v>Mean Lithological Magnesium Oxide</v>
      </c>
      <c r="D92" s="29" t="str">
        <f>INDEX(Active!B:B, MATCH(Spearmans2!B92, Active!F:F,0),1)</f>
        <v>Natural</v>
      </c>
      <c r="E92" s="29" t="str">
        <f>INDEX(Active!D:D, MATCH(Spearmans2!B92, Active!F:F,0),1)</f>
        <v>Lithology</v>
      </c>
      <c r="F92" s="29" t="str">
        <f>INDEX(Active!K:K, MATCH(Spearmans2!B92, Active!F:F,0),1)</f>
        <v>Mean % of lithological magnesium oxide (MgO) content in surface or near surface geology within AOI</v>
      </c>
      <c r="G92" s="38" t="s">
        <v>288</v>
      </c>
      <c r="H92" s="29" t="s">
        <v>103</v>
      </c>
      <c r="I92" s="29" t="s">
        <v>104</v>
      </c>
      <c r="J92" s="29" t="s">
        <v>289</v>
      </c>
      <c r="K92" s="57" t="s">
        <v>57</v>
      </c>
      <c r="L92" s="30" t="str">
        <f>IF(RIGHT(K92,2)="WS", LEFT(K92,LEN(K92)-2),K92)</f>
        <v>CAO</v>
      </c>
      <c r="M92" s="30" t="str">
        <f>INDEX(Active!J:J, MATCH(Spearmans2!L92, Active!F:F,0),1)</f>
        <v>Mean Lithological Calcium Oxide</v>
      </c>
      <c r="N92" s="30" t="str">
        <f>INDEX(Active!B:B, MATCH(Spearmans2!L92, Active!F:F,0),1)</f>
        <v>Natural</v>
      </c>
      <c r="O92" s="30" t="str">
        <f>INDEX(Active!K:K, MATCH(Spearmans2!L92, Active!F:F,0),1)</f>
        <v>Mean % of lithological calcium oxide (CaO) content in surface or near surface geology within AOI</v>
      </c>
      <c r="P92" s="53" t="s">
        <v>148</v>
      </c>
      <c r="Q92" s="30" t="s">
        <v>103</v>
      </c>
      <c r="R92" s="30" t="s">
        <v>149</v>
      </c>
      <c r="S92" s="31">
        <v>0.88052675202645847</v>
      </c>
    </row>
    <row r="93" spans="1:19" s="19" customFormat="1" x14ac:dyDescent="0.3">
      <c r="A93" s="37" t="s">
        <v>36</v>
      </c>
      <c r="B93" s="25" t="str">
        <f>IF(RIGHT(A93,2)="WS", LEFT(A93,LEN(A93)-2),A93)</f>
        <v>MWST2008</v>
      </c>
      <c r="C93" s="25" t="str">
        <f>INDEX(Active!J:J, MATCH(Spearmans2!B93, Active!F:F,0),1)</f>
        <v>Mean Winter Stream Temp</v>
      </c>
      <c r="D93" s="25" t="str">
        <f>INDEX(Active!B:B, MATCH(Spearmans2!B93, Active!F:F,0),1)</f>
        <v>Natural</v>
      </c>
      <c r="E93" s="25" t="str">
        <f>INDEX(Active!D:D, MATCH(Spearmans2!B93, Active!F:F,0),1)</f>
        <v>Other</v>
      </c>
      <c r="F93" s="25" t="str">
        <f>INDEX(Active!K:K, MATCH(Spearmans2!B93, Active!F:F,0),1)</f>
        <v>Predicted mean winter stream temperature (Jan-Feb) for year 2008, 2009, 2013, 2014</v>
      </c>
      <c r="G93" s="37" t="s">
        <v>302</v>
      </c>
      <c r="H93" s="25" t="s">
        <v>103</v>
      </c>
      <c r="I93" s="25" t="s">
        <v>123</v>
      </c>
      <c r="J93" s="25" t="s">
        <v>303</v>
      </c>
      <c r="K93" s="55" t="s">
        <v>35</v>
      </c>
      <c r="L93" s="26" t="str">
        <f>IF(RIGHT(K93,2)="WS", LEFT(K93,LEN(K93)-2),K93)</f>
        <v>ELEV</v>
      </c>
      <c r="M93" s="26" t="str">
        <f>INDEX(Active!J:J, MATCH(Spearmans2!L93, Active!F:F,0),1)</f>
        <v>Mean Elevation</v>
      </c>
      <c r="N93" s="26" t="str">
        <f>INDEX(Active!B:B, MATCH(Spearmans2!L93, Active!F:F,0),1)</f>
        <v>Natural</v>
      </c>
      <c r="O93" s="26" t="str">
        <f>INDEX(Active!K:K, MATCH(Spearmans2!L93, Active!F:F,0),1)</f>
        <v>Mean AOI elevation (m)</v>
      </c>
      <c r="P93" s="52" t="s">
        <v>217</v>
      </c>
      <c r="Q93" s="26" t="s">
        <v>103</v>
      </c>
      <c r="R93" s="26" t="s">
        <v>218</v>
      </c>
      <c r="S93" s="27">
        <v>-0.89512230399981907</v>
      </c>
    </row>
    <row r="94" spans="1:19" s="20" customFormat="1" x14ac:dyDescent="0.3">
      <c r="A94" s="33" t="s">
        <v>36</v>
      </c>
      <c r="B94" s="23" t="str">
        <f>IF(RIGHT(A94,2)="WS", LEFT(A94,LEN(A94)-2),A94)</f>
        <v>MWST2008</v>
      </c>
      <c r="C94" s="23" t="str">
        <f>INDEX(Active!J:J, MATCH(Spearmans2!B94, Active!F:F,0),1)</f>
        <v>Mean Winter Stream Temp</v>
      </c>
      <c r="D94" s="23" t="str">
        <f>INDEX(Active!B:B, MATCH(Spearmans2!B94, Active!F:F,0),1)</f>
        <v>Natural</v>
      </c>
      <c r="E94" s="23" t="str">
        <f>INDEX(Active!D:D, MATCH(Spearmans2!B94, Active!F:F,0),1)</f>
        <v>Other</v>
      </c>
      <c r="F94" s="23" t="str">
        <f>INDEX(Active!K:K, MATCH(Spearmans2!B94, Active!F:F,0),1)</f>
        <v>Predicted mean winter stream temperature (Jan-Feb) for year 2008, 2009, 2013, 2014</v>
      </c>
      <c r="G94" s="33" t="s">
        <v>302</v>
      </c>
      <c r="H94" s="23" t="s">
        <v>103</v>
      </c>
      <c r="I94" s="23" t="s">
        <v>123</v>
      </c>
      <c r="J94" s="23" t="s">
        <v>303</v>
      </c>
      <c r="K94" s="56" t="s">
        <v>22</v>
      </c>
      <c r="L94" s="24" t="str">
        <f>IF(RIGHT(K94,2)="WS", LEFT(K94,LEN(K94)-2),K94)</f>
        <v>TMEAN2008</v>
      </c>
      <c r="M94" s="24" t="str">
        <f>INDEX(Active!J:J, MATCH(Spearmans2!L94, Active!F:F,0),1)</f>
        <v>Mean Air Temperature</v>
      </c>
      <c r="N94" s="24" t="str">
        <f>INDEX(Active!B:B, MATCH(Spearmans2!L94, Active!F:F,0),1)</f>
        <v>Natural</v>
      </c>
      <c r="O94" s="24" t="str">
        <f>INDEX(Active!K:K, MATCH(Spearmans2!L94, Active!F:F,0),1)</f>
        <v>PRISM climate data - Mean temperature (°C) within the AOI. Period: 2008 and 2009</v>
      </c>
      <c r="P94" s="34" t="s">
        <v>691</v>
      </c>
      <c r="Q94" s="24" t="s">
        <v>103</v>
      </c>
      <c r="R94" s="24" t="s">
        <v>692</v>
      </c>
      <c r="S94" s="28">
        <v>0.84046168377472807</v>
      </c>
    </row>
    <row r="95" spans="1:19" s="20" customFormat="1" x14ac:dyDescent="0.3">
      <c r="A95" s="33" t="s">
        <v>36</v>
      </c>
      <c r="B95" s="23" t="str">
        <f>IF(RIGHT(A95,2)="WS", LEFT(A95,LEN(A95)-2),A95)</f>
        <v>MWST2008</v>
      </c>
      <c r="C95" s="23" t="str">
        <f>INDEX(Active!J:J, MATCH(Spearmans2!B95, Active!F:F,0),1)</f>
        <v>Mean Winter Stream Temp</v>
      </c>
      <c r="D95" s="23" t="str">
        <f>INDEX(Active!B:B, MATCH(Spearmans2!B95, Active!F:F,0),1)</f>
        <v>Natural</v>
      </c>
      <c r="E95" s="23" t="str">
        <f>INDEX(Active!D:D, MATCH(Spearmans2!B95, Active!F:F,0),1)</f>
        <v>Other</v>
      </c>
      <c r="F95" s="23" t="str">
        <f>INDEX(Active!K:K, MATCH(Spearmans2!B95, Active!F:F,0),1)</f>
        <v>Predicted mean winter stream temperature (Jan-Feb) for year 2008, 2009, 2013, 2014</v>
      </c>
      <c r="G95" s="33" t="s">
        <v>302</v>
      </c>
      <c r="H95" s="23" t="s">
        <v>103</v>
      </c>
      <c r="I95" s="23" t="s">
        <v>123</v>
      </c>
      <c r="J95" s="23" t="s">
        <v>303</v>
      </c>
      <c r="K95" s="56" t="s">
        <v>24</v>
      </c>
      <c r="L95" s="24" t="str">
        <f>IF(RIGHT(K95,2)="WS", LEFT(K95,LEN(K95)-2),K95)</f>
        <v>TMEAN9120</v>
      </c>
      <c r="M95" s="24" t="str">
        <f>INDEX(Active!J:J, MATCH(Spearmans2!L95, Active!F:F,0),1)</f>
        <v>30-year Mean Annual Air Temperature</v>
      </c>
      <c r="N95" s="24" t="str">
        <f>INDEX(Active!B:B, MATCH(Spearmans2!L95, Active!F:F,0),1)</f>
        <v>Natural</v>
      </c>
      <c r="O95" s="24" t="str">
        <f>INDEX(Active!K:K, MATCH(Spearmans2!L95, Active!F:F,0),1)</f>
        <v>PRISM climate data - 30-year normal mean temperature (CÂ°): Annual period: 1991-2020 within the AOI</v>
      </c>
      <c r="P95" s="34" t="s">
        <v>695</v>
      </c>
      <c r="Q95" s="24" t="s">
        <v>103</v>
      </c>
      <c r="R95" s="24" t="s">
        <v>699</v>
      </c>
      <c r="S95" s="28">
        <v>0.84896784928876523</v>
      </c>
    </row>
    <row r="96" spans="1:19" s="20" customFormat="1" x14ac:dyDescent="0.3">
      <c r="A96" s="33" t="s">
        <v>36</v>
      </c>
      <c r="B96" s="23" t="str">
        <f>IF(RIGHT(A96,2)="WS", LEFT(A96,LEN(A96)-2),A96)</f>
        <v>MWST2008</v>
      </c>
      <c r="C96" s="23" t="str">
        <f>INDEX(Active!J:J, MATCH(Spearmans2!B96, Active!F:F,0),1)</f>
        <v>Mean Winter Stream Temp</v>
      </c>
      <c r="D96" s="23" t="str">
        <f>INDEX(Active!B:B, MATCH(Spearmans2!B96, Active!F:F,0),1)</f>
        <v>Natural</v>
      </c>
      <c r="E96" s="23" t="str">
        <f>INDEX(Active!D:D, MATCH(Spearmans2!B96, Active!F:F,0),1)</f>
        <v>Other</v>
      </c>
      <c r="F96" s="23" t="str">
        <f>INDEX(Active!K:K, MATCH(Spearmans2!B96, Active!F:F,0),1)</f>
        <v>Predicted mean winter stream temperature (Jan-Feb) for year 2008, 2009, 2013, 2014</v>
      </c>
      <c r="G96" s="33" t="s">
        <v>302</v>
      </c>
      <c r="H96" s="23" t="s">
        <v>103</v>
      </c>
      <c r="I96" s="23" t="s">
        <v>123</v>
      </c>
      <c r="J96" s="23" t="s">
        <v>303</v>
      </c>
      <c r="K96" s="56" t="s">
        <v>20</v>
      </c>
      <c r="L96" s="24" t="str">
        <f>IF(RIGHT(K96,2)="WS", LEFT(K96,LEN(K96)-2),K96)</f>
        <v>TMEAN8110</v>
      </c>
      <c r="M96" s="24" t="str">
        <f>INDEX(Active!J:J, MATCH(Spearmans2!L96, Active!F:F,0),1)</f>
        <v>30-year Mean Annual Air Temperature</v>
      </c>
      <c r="N96" s="24" t="str">
        <f>INDEX(Active!B:B, MATCH(Spearmans2!L96, Active!F:F,0),1)</f>
        <v>Natural</v>
      </c>
      <c r="O96" s="24" t="str">
        <f>INDEX(Active!K:K, MATCH(Spearmans2!L96, Active!F:F,0),1)</f>
        <v>PRISM climate data - 30-year normal mean temperature (CÂ°): Annual period: 1981-2010 within the AOI</v>
      </c>
      <c r="P96" s="34" t="s">
        <v>695</v>
      </c>
      <c r="Q96" s="24" t="s">
        <v>103</v>
      </c>
      <c r="R96" s="24" t="s">
        <v>696</v>
      </c>
      <c r="S96" s="28">
        <v>0.85651744110046601</v>
      </c>
    </row>
    <row r="97" spans="1:19" s="20" customFormat="1" x14ac:dyDescent="0.3">
      <c r="A97" s="33" t="s">
        <v>36</v>
      </c>
      <c r="B97" s="23" t="str">
        <f>IF(RIGHT(A97,2)="WS", LEFT(A97,LEN(A97)-2),A97)</f>
        <v>MWST2008</v>
      </c>
      <c r="C97" s="23" t="str">
        <f>INDEX(Active!J:J, MATCH(Spearmans2!B97, Active!F:F,0),1)</f>
        <v>Mean Winter Stream Temp</v>
      </c>
      <c r="D97" s="23" t="str">
        <f>INDEX(Active!B:B, MATCH(Spearmans2!B97, Active!F:F,0),1)</f>
        <v>Natural</v>
      </c>
      <c r="E97" s="23" t="str">
        <f>INDEX(Active!D:D, MATCH(Spearmans2!B97, Active!F:F,0),1)</f>
        <v>Other</v>
      </c>
      <c r="F97" s="23" t="str">
        <f>INDEX(Active!K:K, MATCH(Spearmans2!B97, Active!F:F,0),1)</f>
        <v>Predicted mean winter stream temperature (Jan-Feb) for year 2008, 2009, 2013, 2014</v>
      </c>
      <c r="G97" s="33" t="s">
        <v>302</v>
      </c>
      <c r="H97" s="23" t="s">
        <v>103</v>
      </c>
      <c r="I97" s="23" t="s">
        <v>123</v>
      </c>
      <c r="J97" s="23" t="s">
        <v>303</v>
      </c>
      <c r="K97" s="56" t="s">
        <v>25</v>
      </c>
      <c r="L97" s="24" t="str">
        <f>IF(RIGHT(K97,2)="WS", LEFT(K97,LEN(K97)-2),K97)</f>
        <v>TMIN9120</v>
      </c>
      <c r="M97" s="24" t="str">
        <f>INDEX(Active!J:J, MATCH(Spearmans2!L97, Active!F:F,0),1)</f>
        <v>30-year Average Annual Normal Minimum Air Temperature</v>
      </c>
      <c r="N97" s="24" t="str">
        <f>INDEX(Active!B:B, MATCH(Spearmans2!L97, Active!F:F,0),1)</f>
        <v>Natural</v>
      </c>
      <c r="O97" s="24" t="str">
        <f>INDEX(Active!K:K, MATCH(Spearmans2!L97, Active!F:F,0),1)</f>
        <v>PRISM climate data - 30-year normal minimum temperature (CÂ°): Annual period: 1991-2020 within the AOI</v>
      </c>
      <c r="P97" s="34" t="s">
        <v>702</v>
      </c>
      <c r="Q97" s="24" t="s">
        <v>103</v>
      </c>
      <c r="R97" s="24" t="s">
        <v>706</v>
      </c>
      <c r="S97" s="28">
        <v>0.89074462338446792</v>
      </c>
    </row>
    <row r="98" spans="1:19" s="21" customFormat="1" x14ac:dyDescent="0.3">
      <c r="A98" s="38" t="s">
        <v>36</v>
      </c>
      <c r="B98" s="29" t="str">
        <f>IF(RIGHT(A98,2)="WS", LEFT(A98,LEN(A98)-2),A98)</f>
        <v>MWST2008</v>
      </c>
      <c r="C98" s="29" t="str">
        <f>INDEX(Active!J:J, MATCH(Spearmans2!B98, Active!F:F,0),1)</f>
        <v>Mean Winter Stream Temp</v>
      </c>
      <c r="D98" s="29" t="str">
        <f>INDEX(Active!B:B, MATCH(Spearmans2!B98, Active!F:F,0),1)</f>
        <v>Natural</v>
      </c>
      <c r="E98" s="29" t="str">
        <f>INDEX(Active!D:D, MATCH(Spearmans2!B98, Active!F:F,0),1)</f>
        <v>Other</v>
      </c>
      <c r="F98" s="29" t="str">
        <f>INDEX(Active!K:K, MATCH(Spearmans2!B98, Active!F:F,0),1)</f>
        <v>Predicted mean winter stream temperature (Jan-Feb) for year 2008, 2009, 2013, 2014</v>
      </c>
      <c r="G98" s="38" t="s">
        <v>302</v>
      </c>
      <c r="H98" s="29" t="s">
        <v>103</v>
      </c>
      <c r="I98" s="29" t="s">
        <v>123</v>
      </c>
      <c r="J98" s="29" t="s">
        <v>303</v>
      </c>
      <c r="K98" s="57" t="s">
        <v>21</v>
      </c>
      <c r="L98" s="30" t="str">
        <f>IF(RIGHT(K98,2)="WS", LEFT(K98,LEN(K98)-2),K98)</f>
        <v>TMIN8110</v>
      </c>
      <c r="M98" s="30" t="str">
        <f>INDEX(Active!J:J, MATCH(Spearmans2!L98, Active!F:F,0),1)</f>
        <v>30-year Average Annual Normal Minimum Air Temperature</v>
      </c>
      <c r="N98" s="30" t="str">
        <f>INDEX(Active!B:B, MATCH(Spearmans2!L98, Active!F:F,0),1)</f>
        <v>Natural</v>
      </c>
      <c r="O98" s="30" t="str">
        <f>INDEX(Active!K:K, MATCH(Spearmans2!L98, Active!F:F,0),1)</f>
        <v>PRISM climate data - 30-year normal minimum temperature (CÂ°): Annual period: 1981-2010 within the AOI</v>
      </c>
      <c r="P98" s="53" t="s">
        <v>702</v>
      </c>
      <c r="Q98" s="30" t="s">
        <v>103</v>
      </c>
      <c r="R98" s="30" t="s">
        <v>703</v>
      </c>
      <c r="S98" s="31">
        <v>0.89796057812812957</v>
      </c>
    </row>
    <row r="99" spans="1:19" s="36" customFormat="1" x14ac:dyDescent="0.3">
      <c r="A99" s="39" t="s">
        <v>51</v>
      </c>
      <c r="B99" s="16" t="str">
        <f>IF(RIGHT(A99,2)="WS", LEFT(A99,LEN(A99)-2),A99)</f>
        <v>NA2O</v>
      </c>
      <c r="C99" s="16" t="str">
        <f>INDEX(Active!J:J, MATCH(Spearmans2!B99, Active!F:F,0),1)</f>
        <v>Mean Lithological Sodium Oxide</v>
      </c>
      <c r="D99" s="16" t="str">
        <f>INDEX(Active!B:B, MATCH(Spearmans2!B99, Active!F:F,0),1)</f>
        <v>Natural</v>
      </c>
      <c r="E99" s="16" t="str">
        <f>INDEX(Active!D:D, MATCH(Spearmans2!B99, Active!F:F,0),1)</f>
        <v>Lithology</v>
      </c>
      <c r="F99" s="16" t="str">
        <f>INDEX(Active!K:K, MATCH(Spearmans2!B99, Active!F:F,0),1)</f>
        <v>Mean % of lithological sodium oxide (Na2O) content in surface or near surface geology within AOI</v>
      </c>
      <c r="G99" s="39" t="s">
        <v>309</v>
      </c>
      <c r="H99" s="16" t="s">
        <v>103</v>
      </c>
      <c r="I99" s="16" t="s">
        <v>104</v>
      </c>
      <c r="J99" s="16" t="s">
        <v>310</v>
      </c>
      <c r="K99" s="58" t="s">
        <v>53</v>
      </c>
      <c r="L99" s="17" t="str">
        <f>IF(RIGHT(K99,2)="WS", LEFT(K99,LEN(K99)-2),K99)</f>
        <v>AL2O3</v>
      </c>
      <c r="M99" s="17" t="str">
        <f>INDEX(Active!J:J, MATCH(Spearmans2!L99, Active!F:F,0),1)</f>
        <v>Mean Lithological Aluminum Oxide</v>
      </c>
      <c r="N99" s="17" t="str">
        <f>INDEX(Active!B:B, MATCH(Spearmans2!L99, Active!F:F,0),1)</f>
        <v>Natural</v>
      </c>
      <c r="O99" s="17" t="str">
        <f>INDEX(Active!K:K, MATCH(Spearmans2!L99, Active!F:F,0),1)</f>
        <v>Mean % of lithological aluminum oxide (Al2O3) content in surface or near surface geology within AOI</v>
      </c>
      <c r="P99" s="45" t="s">
        <v>107</v>
      </c>
      <c r="Q99" s="17" t="s">
        <v>103</v>
      </c>
      <c r="R99" s="17" t="s">
        <v>108</v>
      </c>
      <c r="S99" s="18">
        <v>0.93978313028449711</v>
      </c>
    </row>
    <row r="100" spans="1:19" s="19" customFormat="1" x14ac:dyDescent="0.3">
      <c r="A100" s="37" t="s">
        <v>37</v>
      </c>
      <c r="B100" s="25" t="str">
        <f>IF(RIGHT(A100,2)="WS", LEFT(A100,LEN(A100)-2),A100)</f>
        <v>NABD_DENS</v>
      </c>
      <c r="C100" s="25" t="str">
        <f>INDEX(Active!J:J, MATCH(Spearmans2!B100, Active!F:F,0),1)</f>
        <v>NABD Dam Density</v>
      </c>
      <c r="D100" s="25" t="str">
        <f>INDEX(Active!B:B, MATCH(Spearmans2!B100, Active!F:F,0),1)</f>
        <v>Anthropogenic</v>
      </c>
      <c r="E100" s="25" t="str">
        <f>INDEX(Active!D:D, MATCH(Spearmans2!B100, Active!F:F,0),1)</f>
        <v>Dams</v>
      </c>
      <c r="F100" s="25" t="str">
        <f>INDEX(Active!K:K, MATCH(Spearmans2!B100, Active!F:F,0),1)</f>
        <v>Density of georeferenced dams within AOI (dams/ square km)</v>
      </c>
      <c r="G100" s="37" t="s">
        <v>313</v>
      </c>
      <c r="H100" s="25" t="s">
        <v>92</v>
      </c>
      <c r="I100" s="25" t="s">
        <v>200</v>
      </c>
      <c r="J100" s="25" t="s">
        <v>204</v>
      </c>
      <c r="K100" s="55" t="s">
        <v>41</v>
      </c>
      <c r="L100" s="26" t="str">
        <f>IF(RIGHT(K100,2)="WS", LEFT(K100,LEN(K100)-2),K100)</f>
        <v>DAMDENS</v>
      </c>
      <c r="M100" s="26" t="str">
        <f>INDEX(Active!J:J, MATCH(Spearmans2!L100, Active!F:F,0),1)</f>
        <v>Dam Density</v>
      </c>
      <c r="N100" s="26" t="str">
        <f>INDEX(Active!B:B, MATCH(Spearmans2!L100, Active!F:F,0),1)</f>
        <v>Anthropogenic</v>
      </c>
      <c r="O100" s="26" t="str">
        <f>INDEX(Active!K:K, MATCH(Spearmans2!L100, Active!F:F,0),1)</f>
        <v>Density of georeferenced dams within AOI (dams/ square km)</v>
      </c>
      <c r="P100" s="52" t="s">
        <v>203</v>
      </c>
      <c r="Q100" s="26" t="s">
        <v>92</v>
      </c>
      <c r="R100" s="26" t="s">
        <v>204</v>
      </c>
      <c r="S100" s="27">
        <v>0.816520055440909</v>
      </c>
    </row>
    <row r="101" spans="1:19" s="20" customFormat="1" x14ac:dyDescent="0.3">
      <c r="A101" s="33" t="s">
        <v>37</v>
      </c>
      <c r="B101" s="23" t="str">
        <f>IF(RIGHT(A101,2)="WS", LEFT(A101,LEN(A101)-2),A101)</f>
        <v>NABD_DENS</v>
      </c>
      <c r="C101" s="23" t="str">
        <f>INDEX(Active!J:J, MATCH(Spearmans2!B101, Active!F:F,0),1)</f>
        <v>NABD Dam Density</v>
      </c>
      <c r="D101" s="23" t="str">
        <f>INDEX(Active!B:B, MATCH(Spearmans2!B101, Active!F:F,0),1)</f>
        <v>Anthropogenic</v>
      </c>
      <c r="E101" s="23" t="str">
        <f>INDEX(Active!D:D, MATCH(Spearmans2!B101, Active!F:F,0),1)</f>
        <v>Dams</v>
      </c>
      <c r="F101" s="23" t="str">
        <f>INDEX(Active!K:K, MATCH(Spearmans2!B101, Active!F:F,0),1)</f>
        <v>Density of georeferenced dams within AOI (dams/ square km)</v>
      </c>
      <c r="G101" s="33" t="s">
        <v>313</v>
      </c>
      <c r="H101" s="23" t="s">
        <v>92</v>
      </c>
      <c r="I101" s="23" t="s">
        <v>200</v>
      </c>
      <c r="J101" s="23" t="s">
        <v>204</v>
      </c>
      <c r="K101" s="56" t="s">
        <v>38</v>
      </c>
      <c r="L101" s="24" t="str">
        <f>IF(RIGHT(K101,2)="WS", LEFT(K101,LEN(K101)-2),K101)</f>
        <v>DAMNRMSTOR</v>
      </c>
      <c r="M101" s="24" t="str">
        <f>INDEX(Active!J:J, MATCH(Spearmans2!L101, Active!F:F,0),1)</f>
        <v>Dam Resevoir Normal Volume</v>
      </c>
      <c r="N101" s="24" t="str">
        <f>INDEX(Active!B:B, MATCH(Spearmans2!L101, Active!F:F,0),1)</f>
        <v>Anthropogenic</v>
      </c>
      <c r="O101" s="24" t="str">
        <f>INDEX(Active!K:K, MATCH(Spearmans2!L101, Active!F:F,0),1)</f>
        <v>Volume all reservoirs (NORM_STORA in NID) per unit area of AOI (cubic meters/square km)</v>
      </c>
      <c r="P101" s="34" t="s">
        <v>213</v>
      </c>
      <c r="Q101" s="24" t="s">
        <v>92</v>
      </c>
      <c r="R101" s="24" t="s">
        <v>214</v>
      </c>
      <c r="S101" s="28">
        <v>0.83120073402337591</v>
      </c>
    </row>
    <row r="102" spans="1:19" s="20" customFormat="1" x14ac:dyDescent="0.3">
      <c r="A102" s="33" t="s">
        <v>37</v>
      </c>
      <c r="B102" s="23" t="str">
        <f>IF(RIGHT(A102,2)="WS", LEFT(A102,LEN(A102)-2),A102)</f>
        <v>NABD_DENS</v>
      </c>
      <c r="C102" s="23" t="str">
        <f>INDEX(Active!J:J, MATCH(Spearmans2!B102, Active!F:F,0),1)</f>
        <v>NABD Dam Density</v>
      </c>
      <c r="D102" s="23" t="str">
        <f>INDEX(Active!B:B, MATCH(Spearmans2!B102, Active!F:F,0),1)</f>
        <v>Anthropogenic</v>
      </c>
      <c r="E102" s="23" t="str">
        <f>INDEX(Active!D:D, MATCH(Spearmans2!B102, Active!F:F,0),1)</f>
        <v>Dams</v>
      </c>
      <c r="F102" s="23" t="str">
        <f>INDEX(Active!K:K, MATCH(Spearmans2!B102, Active!F:F,0),1)</f>
        <v>Density of georeferenced dams within AOI (dams/ square km)</v>
      </c>
      <c r="G102" s="33" t="s">
        <v>313</v>
      </c>
      <c r="H102" s="23" t="s">
        <v>92</v>
      </c>
      <c r="I102" s="23" t="s">
        <v>200</v>
      </c>
      <c r="J102" s="23" t="s">
        <v>204</v>
      </c>
      <c r="K102" s="56" t="s">
        <v>42</v>
      </c>
      <c r="L102" s="24" t="str">
        <f>IF(RIGHT(K102,2)="WS", LEFT(K102,LEN(K102)-2),K102)</f>
        <v>DAMNIDSTOR</v>
      </c>
      <c r="M102" s="24" t="str">
        <f>INDEX(Active!J:J, MATCH(Spearmans2!L102, Active!F:F,0),1)</f>
        <v>Dam Resevoir NID Volume</v>
      </c>
      <c r="N102" s="24" t="str">
        <f>INDEX(Active!B:B, MATCH(Spearmans2!L102, Active!F:F,0),1)</f>
        <v>Anthropogenic</v>
      </c>
      <c r="O102" s="24" t="str">
        <f>INDEX(Active!K:K, MATCH(Spearmans2!L102, Active!F:F,0),1)</f>
        <v>Volume all reservoirs (NID_STORA in NID) per unit area of AOI (cubic meters/square km)</v>
      </c>
      <c r="P102" s="34" t="s">
        <v>208</v>
      </c>
      <c r="Q102" s="24" t="s">
        <v>92</v>
      </c>
      <c r="R102" s="24" t="s">
        <v>209</v>
      </c>
      <c r="S102" s="28">
        <v>0.83205065776449894</v>
      </c>
    </row>
    <row r="103" spans="1:19" s="20" customFormat="1" x14ac:dyDescent="0.3">
      <c r="A103" s="33" t="s">
        <v>37</v>
      </c>
      <c r="B103" s="23" t="str">
        <f>IF(RIGHT(A103,2)="WS", LEFT(A103,LEN(A103)-2),A103)</f>
        <v>NABD_DENS</v>
      </c>
      <c r="C103" s="23" t="str">
        <f>INDEX(Active!J:J, MATCH(Spearmans2!B103, Active!F:F,0),1)</f>
        <v>NABD Dam Density</v>
      </c>
      <c r="D103" s="23" t="str">
        <f>INDEX(Active!B:B, MATCH(Spearmans2!B103, Active!F:F,0),1)</f>
        <v>Anthropogenic</v>
      </c>
      <c r="E103" s="23" t="str">
        <f>INDEX(Active!D:D, MATCH(Spearmans2!B103, Active!F:F,0),1)</f>
        <v>Dams</v>
      </c>
      <c r="F103" s="23" t="str">
        <f>INDEX(Active!K:K, MATCH(Spearmans2!B103, Active!F:F,0),1)</f>
        <v>Density of georeferenced dams within AOI (dams/ square km)</v>
      </c>
      <c r="G103" s="33" t="s">
        <v>313</v>
      </c>
      <c r="H103" s="23" t="s">
        <v>92</v>
      </c>
      <c r="I103" s="23" t="s">
        <v>200</v>
      </c>
      <c r="J103" s="23" t="s">
        <v>204</v>
      </c>
      <c r="K103" s="56" t="s">
        <v>39</v>
      </c>
      <c r="L103" s="24" t="str">
        <f>IF(RIGHT(K103,2)="WS", LEFT(K103,LEN(K103)-2),K103)</f>
        <v>NABD_NRMSTOR</v>
      </c>
      <c r="M103" s="24" t="str">
        <f>INDEX(Active!J:J, MATCH(Spearmans2!L103, Active!F:F,0),1)</f>
        <v>NABD Normal Reservoir Volume</v>
      </c>
      <c r="N103" s="24" t="str">
        <f>INDEX(Active!B:B, MATCH(Spearmans2!L103, Active!F:F,0),1)</f>
        <v>Anthropogenic</v>
      </c>
      <c r="O103" s="24" t="str">
        <f>INDEX(Active!K:K, MATCH(Spearmans2!L103, Active!F:F,0),1)</f>
        <v>Volume all reservoirs (NORM_STORA in NID) per unit area of AOI (cubic meters/square km)</v>
      </c>
      <c r="P103" s="34" t="s">
        <v>319</v>
      </c>
      <c r="Q103" s="24" t="s">
        <v>92</v>
      </c>
      <c r="R103" s="24" t="s">
        <v>214</v>
      </c>
      <c r="S103" s="28">
        <v>0.99652809029585021</v>
      </c>
    </row>
    <row r="104" spans="1:19" s="21" customFormat="1" x14ac:dyDescent="0.3">
      <c r="A104" s="38" t="s">
        <v>37</v>
      </c>
      <c r="B104" s="29" t="str">
        <f>IF(RIGHT(A104,2)="WS", LEFT(A104,LEN(A104)-2),A104)</f>
        <v>NABD_DENS</v>
      </c>
      <c r="C104" s="29" t="str">
        <f>INDEX(Active!J:J, MATCH(Spearmans2!B104, Active!F:F,0),1)</f>
        <v>NABD Dam Density</v>
      </c>
      <c r="D104" s="29" t="str">
        <f>INDEX(Active!B:B, MATCH(Spearmans2!B104, Active!F:F,0),1)</f>
        <v>Anthropogenic</v>
      </c>
      <c r="E104" s="29" t="str">
        <f>INDEX(Active!D:D, MATCH(Spearmans2!B104, Active!F:F,0),1)</f>
        <v>Dams</v>
      </c>
      <c r="F104" s="29" t="str">
        <f>INDEX(Active!K:K, MATCH(Spearmans2!B104, Active!F:F,0),1)</f>
        <v>Density of georeferenced dams within AOI (dams/ square km)</v>
      </c>
      <c r="G104" s="38" t="s">
        <v>313</v>
      </c>
      <c r="H104" s="29" t="s">
        <v>92</v>
      </c>
      <c r="I104" s="29" t="s">
        <v>200</v>
      </c>
      <c r="J104" s="29" t="s">
        <v>204</v>
      </c>
      <c r="K104" s="57" t="s">
        <v>40</v>
      </c>
      <c r="L104" s="30" t="str">
        <f>IF(RIGHT(K104,2)="WS", LEFT(K104,LEN(K104)-2),K104)</f>
        <v>NABD_NIDSTOR</v>
      </c>
      <c r="M104" s="30" t="str">
        <f>INDEX(Active!J:J, MATCH(Spearmans2!L104, Active!F:F,0),1)</f>
        <v>NABD NID Reservoir Volume</v>
      </c>
      <c r="N104" s="30" t="str">
        <f>INDEX(Active!B:B, MATCH(Spearmans2!L104, Active!F:F,0),1)</f>
        <v>Anthropogenic</v>
      </c>
      <c r="O104" s="30" t="str">
        <f>INDEX(Active!K:K, MATCH(Spearmans2!L104, Active!F:F,0),1)</f>
        <v>Volume all reservoirs (NID_STORA in NID) per unit area of AOI (cubic meters/square km)</v>
      </c>
      <c r="P104" s="53" t="s">
        <v>316</v>
      </c>
      <c r="Q104" s="30" t="s">
        <v>92</v>
      </c>
      <c r="R104" s="30" t="s">
        <v>209</v>
      </c>
      <c r="S104" s="31">
        <v>0.9965367168908762</v>
      </c>
    </row>
    <row r="105" spans="1:19" s="19" customFormat="1" x14ac:dyDescent="0.3">
      <c r="A105" s="37" t="s">
        <v>40</v>
      </c>
      <c r="B105" s="25" t="str">
        <f>IF(RIGHT(A105,2)="WS", LEFT(A105,LEN(A105)-2),A105)</f>
        <v>NABD_NIDSTOR</v>
      </c>
      <c r="C105" s="25" t="str">
        <f>INDEX(Active!J:J, MATCH(Spearmans2!B105, Active!F:F,0),1)</f>
        <v>NABD NID Reservoir Volume</v>
      </c>
      <c r="D105" s="25" t="str">
        <f>INDEX(Active!B:B, MATCH(Spearmans2!B105, Active!F:F,0),1)</f>
        <v>Anthropogenic</v>
      </c>
      <c r="E105" s="25" t="str">
        <f>INDEX(Active!D:D, MATCH(Spearmans2!B105, Active!F:F,0),1)</f>
        <v>Dams</v>
      </c>
      <c r="F105" s="25" t="str">
        <f>INDEX(Active!K:K, MATCH(Spearmans2!B105, Active!F:F,0),1)</f>
        <v>Volume all reservoirs (NID_STORA in NID) per unit area of AOI (cubic meters/square km)</v>
      </c>
      <c r="G105" s="37" t="s">
        <v>316</v>
      </c>
      <c r="H105" s="25" t="s">
        <v>92</v>
      </c>
      <c r="I105" s="25" t="s">
        <v>200</v>
      </c>
      <c r="J105" s="25" t="s">
        <v>209</v>
      </c>
      <c r="K105" s="55" t="s">
        <v>41</v>
      </c>
      <c r="L105" s="26" t="str">
        <f>IF(RIGHT(K105,2)="WS", LEFT(K105,LEN(K105)-2),K105)</f>
        <v>DAMDENS</v>
      </c>
      <c r="M105" s="26" t="str">
        <f>INDEX(Active!J:J, MATCH(Spearmans2!L105, Active!F:F,0),1)</f>
        <v>Dam Density</v>
      </c>
      <c r="N105" s="26" t="str">
        <f>INDEX(Active!B:B, MATCH(Spearmans2!L105, Active!F:F,0),1)</f>
        <v>Anthropogenic</v>
      </c>
      <c r="O105" s="26" t="str">
        <f>INDEX(Active!K:K, MATCH(Spearmans2!L105, Active!F:F,0),1)</f>
        <v>Density of georeferenced dams within AOI (dams/ square km)</v>
      </c>
      <c r="P105" s="52" t="s">
        <v>203</v>
      </c>
      <c r="Q105" s="26" t="s">
        <v>92</v>
      </c>
      <c r="R105" s="26" t="s">
        <v>204</v>
      </c>
      <c r="S105" s="27">
        <v>0.81396897155859027</v>
      </c>
    </row>
    <row r="106" spans="1:19" s="20" customFormat="1" x14ac:dyDescent="0.3">
      <c r="A106" s="33" t="s">
        <v>40</v>
      </c>
      <c r="B106" s="23" t="str">
        <f>IF(RIGHT(A106,2)="WS", LEFT(A106,LEN(A106)-2),A106)</f>
        <v>NABD_NIDSTOR</v>
      </c>
      <c r="C106" s="23" t="str">
        <f>INDEX(Active!J:J, MATCH(Spearmans2!B106, Active!F:F,0),1)</f>
        <v>NABD NID Reservoir Volume</v>
      </c>
      <c r="D106" s="23" t="str">
        <f>INDEX(Active!B:B, MATCH(Spearmans2!B106, Active!F:F,0),1)</f>
        <v>Anthropogenic</v>
      </c>
      <c r="E106" s="23" t="str">
        <f>INDEX(Active!D:D, MATCH(Spearmans2!B106, Active!F:F,0),1)</f>
        <v>Dams</v>
      </c>
      <c r="F106" s="23" t="str">
        <f>INDEX(Active!K:K, MATCH(Spearmans2!B106, Active!F:F,0),1)</f>
        <v>Volume all reservoirs (NID_STORA in NID) per unit area of AOI (cubic meters/square km)</v>
      </c>
      <c r="G106" s="33" t="s">
        <v>316</v>
      </c>
      <c r="H106" s="23" t="s">
        <v>92</v>
      </c>
      <c r="I106" s="23" t="s">
        <v>200</v>
      </c>
      <c r="J106" s="23" t="s">
        <v>209</v>
      </c>
      <c r="K106" s="56" t="s">
        <v>38</v>
      </c>
      <c r="L106" s="24" t="str">
        <f>IF(RIGHT(K106,2)="WS", LEFT(K106,LEN(K106)-2),K106)</f>
        <v>DAMNRMSTOR</v>
      </c>
      <c r="M106" s="24" t="str">
        <f>INDEX(Active!J:J, MATCH(Spearmans2!L106, Active!F:F,0),1)</f>
        <v>Dam Resevoir Normal Volume</v>
      </c>
      <c r="N106" s="24" t="str">
        <f>INDEX(Active!B:B, MATCH(Spearmans2!L106, Active!F:F,0),1)</f>
        <v>Anthropogenic</v>
      </c>
      <c r="O106" s="24" t="str">
        <f>INDEX(Active!K:K, MATCH(Spearmans2!L106, Active!F:F,0),1)</f>
        <v>Volume all reservoirs (NORM_STORA in NID) per unit area of AOI (cubic meters/square km)</v>
      </c>
      <c r="P106" s="34" t="s">
        <v>213</v>
      </c>
      <c r="Q106" s="24" t="s">
        <v>92</v>
      </c>
      <c r="R106" s="24" t="s">
        <v>214</v>
      </c>
      <c r="S106" s="28">
        <v>0.83658703269374379</v>
      </c>
    </row>
    <row r="107" spans="1:19" s="20" customFormat="1" x14ac:dyDescent="0.3">
      <c r="A107" s="33" t="s">
        <v>40</v>
      </c>
      <c r="B107" s="23" t="str">
        <f>IF(RIGHT(A107,2)="WS", LEFT(A107,LEN(A107)-2),A107)</f>
        <v>NABD_NIDSTOR</v>
      </c>
      <c r="C107" s="23" t="str">
        <f>INDEX(Active!J:J, MATCH(Spearmans2!B107, Active!F:F,0),1)</f>
        <v>NABD NID Reservoir Volume</v>
      </c>
      <c r="D107" s="23" t="str">
        <f>INDEX(Active!B:B, MATCH(Spearmans2!B107, Active!F:F,0),1)</f>
        <v>Anthropogenic</v>
      </c>
      <c r="E107" s="23" t="str">
        <f>INDEX(Active!D:D, MATCH(Spearmans2!B107, Active!F:F,0),1)</f>
        <v>Dams</v>
      </c>
      <c r="F107" s="23" t="str">
        <f>INDEX(Active!K:K, MATCH(Spearmans2!B107, Active!F:F,0),1)</f>
        <v>Volume all reservoirs (NID_STORA in NID) per unit area of AOI (cubic meters/square km)</v>
      </c>
      <c r="G107" s="33" t="s">
        <v>316</v>
      </c>
      <c r="H107" s="23" t="s">
        <v>92</v>
      </c>
      <c r="I107" s="23" t="s">
        <v>200</v>
      </c>
      <c r="J107" s="23" t="s">
        <v>209</v>
      </c>
      <c r="K107" s="56" t="s">
        <v>42</v>
      </c>
      <c r="L107" s="24" t="str">
        <f>IF(RIGHT(K107,2)="WS", LEFT(K107,LEN(K107)-2),K107)</f>
        <v>DAMNIDSTOR</v>
      </c>
      <c r="M107" s="24" t="str">
        <f>INDEX(Active!J:J, MATCH(Spearmans2!L107, Active!F:F,0),1)</f>
        <v>Dam Resevoir NID Volume</v>
      </c>
      <c r="N107" s="24" t="str">
        <f>INDEX(Active!B:B, MATCH(Spearmans2!L107, Active!F:F,0),1)</f>
        <v>Anthropogenic</v>
      </c>
      <c r="O107" s="24" t="str">
        <f>INDEX(Active!K:K, MATCH(Spearmans2!L107, Active!F:F,0),1)</f>
        <v>Volume all reservoirs (NID_STORA in NID) per unit area of AOI (cubic meters/square km)</v>
      </c>
      <c r="P107" s="34" t="s">
        <v>208</v>
      </c>
      <c r="Q107" s="24" t="s">
        <v>92</v>
      </c>
      <c r="R107" s="24" t="s">
        <v>209</v>
      </c>
      <c r="S107" s="28">
        <v>0.83761359741994712</v>
      </c>
    </row>
    <row r="108" spans="1:19" s="20" customFormat="1" x14ac:dyDescent="0.3">
      <c r="A108" s="33" t="s">
        <v>40</v>
      </c>
      <c r="B108" s="23" t="str">
        <f>IF(RIGHT(A108,2)="WS", LEFT(A108,LEN(A108)-2),A108)</f>
        <v>NABD_NIDSTOR</v>
      </c>
      <c r="C108" s="23" t="str">
        <f>INDEX(Active!J:J, MATCH(Spearmans2!B108, Active!F:F,0),1)</f>
        <v>NABD NID Reservoir Volume</v>
      </c>
      <c r="D108" s="23" t="str">
        <f>INDEX(Active!B:B, MATCH(Spearmans2!B108, Active!F:F,0),1)</f>
        <v>Anthropogenic</v>
      </c>
      <c r="E108" s="23" t="str">
        <f>INDEX(Active!D:D, MATCH(Spearmans2!B108, Active!F:F,0),1)</f>
        <v>Dams</v>
      </c>
      <c r="F108" s="23" t="str">
        <f>INDEX(Active!K:K, MATCH(Spearmans2!B108, Active!F:F,0),1)</f>
        <v>Volume all reservoirs (NID_STORA in NID) per unit area of AOI (cubic meters/square km)</v>
      </c>
      <c r="G108" s="33" t="s">
        <v>316</v>
      </c>
      <c r="H108" s="23" t="s">
        <v>92</v>
      </c>
      <c r="I108" s="23" t="s">
        <v>200</v>
      </c>
      <c r="J108" s="23" t="s">
        <v>209</v>
      </c>
      <c r="K108" s="56" t="s">
        <v>37</v>
      </c>
      <c r="L108" s="24" t="str">
        <f>IF(RIGHT(K108,2)="WS", LEFT(K108,LEN(K108)-2),K108)</f>
        <v>NABD_DENS</v>
      </c>
      <c r="M108" s="24" t="str">
        <f>INDEX(Active!J:J, MATCH(Spearmans2!L108, Active!F:F,0),1)</f>
        <v>NABD Dam Density</v>
      </c>
      <c r="N108" s="24" t="str">
        <f>INDEX(Active!B:B, MATCH(Spearmans2!L108, Active!F:F,0),1)</f>
        <v>Anthropogenic</v>
      </c>
      <c r="O108" s="24" t="str">
        <f>INDEX(Active!K:K, MATCH(Spearmans2!L108, Active!F:F,0),1)</f>
        <v>Density of georeferenced dams within AOI (dams/ square km)</v>
      </c>
      <c r="P108" s="34" t="s">
        <v>313</v>
      </c>
      <c r="Q108" s="24" t="s">
        <v>92</v>
      </c>
      <c r="R108" s="24" t="s">
        <v>204</v>
      </c>
      <c r="S108" s="28">
        <v>0.9965367168908762</v>
      </c>
    </row>
    <row r="109" spans="1:19" s="21" customFormat="1" x14ac:dyDescent="0.3">
      <c r="A109" s="38" t="s">
        <v>40</v>
      </c>
      <c r="B109" s="29" t="str">
        <f>IF(RIGHT(A109,2)="WS", LEFT(A109,LEN(A109)-2),A109)</f>
        <v>NABD_NIDSTOR</v>
      </c>
      <c r="C109" s="29" t="str">
        <f>INDEX(Active!J:J, MATCH(Spearmans2!B109, Active!F:F,0),1)</f>
        <v>NABD NID Reservoir Volume</v>
      </c>
      <c r="D109" s="29" t="str">
        <f>INDEX(Active!B:B, MATCH(Spearmans2!B109, Active!F:F,0),1)</f>
        <v>Anthropogenic</v>
      </c>
      <c r="E109" s="29" t="str">
        <f>INDEX(Active!D:D, MATCH(Spearmans2!B109, Active!F:F,0),1)</f>
        <v>Dams</v>
      </c>
      <c r="F109" s="29" t="str">
        <f>INDEX(Active!K:K, MATCH(Spearmans2!B109, Active!F:F,0),1)</f>
        <v>Volume all reservoirs (NID_STORA in NID) per unit area of AOI (cubic meters/square km)</v>
      </c>
      <c r="G109" s="38" t="s">
        <v>316</v>
      </c>
      <c r="H109" s="29" t="s">
        <v>92</v>
      </c>
      <c r="I109" s="29" t="s">
        <v>200</v>
      </c>
      <c r="J109" s="29" t="s">
        <v>209</v>
      </c>
      <c r="K109" s="57" t="s">
        <v>39</v>
      </c>
      <c r="L109" s="30" t="str">
        <f>IF(RIGHT(K109,2)="WS", LEFT(K109,LEN(K109)-2),K109)</f>
        <v>NABD_NRMSTOR</v>
      </c>
      <c r="M109" s="30" t="str">
        <f>INDEX(Active!J:J, MATCH(Spearmans2!L109, Active!F:F,0),1)</f>
        <v>NABD Normal Reservoir Volume</v>
      </c>
      <c r="N109" s="30" t="str">
        <f>INDEX(Active!B:B, MATCH(Spearmans2!L109, Active!F:F,0),1)</f>
        <v>Anthropogenic</v>
      </c>
      <c r="O109" s="30" t="str">
        <f>INDEX(Active!K:K, MATCH(Spearmans2!L109, Active!F:F,0),1)</f>
        <v>Volume all reservoirs (NORM_STORA in NID) per unit area of AOI (cubic meters/square km)</v>
      </c>
      <c r="P109" s="53" t="s">
        <v>319</v>
      </c>
      <c r="Q109" s="30" t="s">
        <v>92</v>
      </c>
      <c r="R109" s="30" t="s">
        <v>214</v>
      </c>
      <c r="S109" s="31">
        <v>0.99996847260214849</v>
      </c>
    </row>
    <row r="110" spans="1:19" s="19" customFormat="1" x14ac:dyDescent="0.3">
      <c r="A110" s="37" t="s">
        <v>39</v>
      </c>
      <c r="B110" s="25" t="str">
        <f>IF(RIGHT(A110,2)="WS", LEFT(A110,LEN(A110)-2),A110)</f>
        <v>NABD_NRMSTOR</v>
      </c>
      <c r="C110" s="25" t="str">
        <f>INDEX(Active!J:J, MATCH(Spearmans2!B110, Active!F:F,0),1)</f>
        <v>NABD Normal Reservoir Volume</v>
      </c>
      <c r="D110" s="25" t="str">
        <f>INDEX(Active!B:B, MATCH(Spearmans2!B110, Active!F:F,0),1)</f>
        <v>Anthropogenic</v>
      </c>
      <c r="E110" s="25" t="str">
        <f>INDEX(Active!D:D, MATCH(Spearmans2!B110, Active!F:F,0),1)</f>
        <v>Dams</v>
      </c>
      <c r="F110" s="25" t="str">
        <f>INDEX(Active!K:K, MATCH(Spearmans2!B110, Active!F:F,0),1)</f>
        <v>Volume all reservoirs (NORM_STORA in NID) per unit area of AOI (cubic meters/square km)</v>
      </c>
      <c r="G110" s="37" t="s">
        <v>319</v>
      </c>
      <c r="H110" s="25" t="s">
        <v>92</v>
      </c>
      <c r="I110" s="25" t="s">
        <v>200</v>
      </c>
      <c r="J110" s="25" t="s">
        <v>214</v>
      </c>
      <c r="K110" s="55" t="s">
        <v>41</v>
      </c>
      <c r="L110" s="26" t="str">
        <f>IF(RIGHT(K110,2)="WS", LEFT(K110,LEN(K110)-2),K110)</f>
        <v>DAMDENS</v>
      </c>
      <c r="M110" s="26" t="str">
        <f>INDEX(Active!J:J, MATCH(Spearmans2!L110, Active!F:F,0),1)</f>
        <v>Dam Density</v>
      </c>
      <c r="N110" s="26" t="str">
        <f>INDEX(Active!B:B, MATCH(Spearmans2!L110, Active!F:F,0),1)</f>
        <v>Anthropogenic</v>
      </c>
      <c r="O110" s="26" t="str">
        <f>INDEX(Active!K:K, MATCH(Spearmans2!L110, Active!F:F,0),1)</f>
        <v>Density of georeferenced dams within AOI (dams/ square km)</v>
      </c>
      <c r="P110" s="52" t="s">
        <v>203</v>
      </c>
      <c r="Q110" s="26" t="s">
        <v>92</v>
      </c>
      <c r="R110" s="26" t="s">
        <v>204</v>
      </c>
      <c r="S110" s="27">
        <v>0.81387384408594265</v>
      </c>
    </row>
    <row r="111" spans="1:19" s="20" customFormat="1" x14ac:dyDescent="0.3">
      <c r="A111" s="33" t="s">
        <v>39</v>
      </c>
      <c r="B111" s="23" t="str">
        <f>IF(RIGHT(A111,2)="WS", LEFT(A111,LEN(A111)-2),A111)</f>
        <v>NABD_NRMSTOR</v>
      </c>
      <c r="C111" s="23" t="str">
        <f>INDEX(Active!J:J, MATCH(Spearmans2!B111, Active!F:F,0),1)</f>
        <v>NABD Normal Reservoir Volume</v>
      </c>
      <c r="D111" s="23" t="str">
        <f>INDEX(Active!B:B, MATCH(Spearmans2!B111, Active!F:F,0),1)</f>
        <v>Anthropogenic</v>
      </c>
      <c r="E111" s="23" t="str">
        <f>INDEX(Active!D:D, MATCH(Spearmans2!B111, Active!F:F,0),1)</f>
        <v>Dams</v>
      </c>
      <c r="F111" s="23" t="str">
        <f>INDEX(Active!K:K, MATCH(Spearmans2!B111, Active!F:F,0),1)</f>
        <v>Volume all reservoirs (NORM_STORA in NID) per unit area of AOI (cubic meters/square km)</v>
      </c>
      <c r="G111" s="33" t="s">
        <v>319</v>
      </c>
      <c r="H111" s="23" t="s">
        <v>92</v>
      </c>
      <c r="I111" s="23" t="s">
        <v>200</v>
      </c>
      <c r="J111" s="23" t="s">
        <v>214</v>
      </c>
      <c r="K111" s="56" t="s">
        <v>38</v>
      </c>
      <c r="L111" s="24" t="str">
        <f>IF(RIGHT(K111,2)="WS", LEFT(K111,LEN(K111)-2),K111)</f>
        <v>DAMNRMSTOR</v>
      </c>
      <c r="M111" s="24" t="str">
        <f>INDEX(Active!J:J, MATCH(Spearmans2!L111, Active!F:F,0),1)</f>
        <v>Dam Resevoir Normal Volume</v>
      </c>
      <c r="N111" s="24" t="str">
        <f>INDEX(Active!B:B, MATCH(Spearmans2!L111, Active!F:F,0),1)</f>
        <v>Anthropogenic</v>
      </c>
      <c r="O111" s="24" t="str">
        <f>INDEX(Active!K:K, MATCH(Spearmans2!L111, Active!F:F,0),1)</f>
        <v>Volume all reservoirs (NORM_STORA in NID) per unit area of AOI (cubic meters/square km)</v>
      </c>
      <c r="P111" s="34" t="s">
        <v>213</v>
      </c>
      <c r="Q111" s="24" t="s">
        <v>92</v>
      </c>
      <c r="R111" s="24" t="s">
        <v>214</v>
      </c>
      <c r="S111" s="28">
        <v>0.83654005242440654</v>
      </c>
    </row>
    <row r="112" spans="1:19" s="20" customFormat="1" x14ac:dyDescent="0.3">
      <c r="A112" s="33" t="s">
        <v>39</v>
      </c>
      <c r="B112" s="23" t="str">
        <f>IF(RIGHT(A112,2)="WS", LEFT(A112,LEN(A112)-2),A112)</f>
        <v>NABD_NRMSTOR</v>
      </c>
      <c r="C112" s="23" t="str">
        <f>INDEX(Active!J:J, MATCH(Spearmans2!B112, Active!F:F,0),1)</f>
        <v>NABD Normal Reservoir Volume</v>
      </c>
      <c r="D112" s="23" t="str">
        <f>INDEX(Active!B:B, MATCH(Spearmans2!B112, Active!F:F,0),1)</f>
        <v>Anthropogenic</v>
      </c>
      <c r="E112" s="23" t="str">
        <f>INDEX(Active!D:D, MATCH(Spearmans2!B112, Active!F:F,0),1)</f>
        <v>Dams</v>
      </c>
      <c r="F112" s="23" t="str">
        <f>INDEX(Active!K:K, MATCH(Spearmans2!B112, Active!F:F,0),1)</f>
        <v>Volume all reservoirs (NORM_STORA in NID) per unit area of AOI (cubic meters/square km)</v>
      </c>
      <c r="G112" s="33" t="s">
        <v>319</v>
      </c>
      <c r="H112" s="23" t="s">
        <v>92</v>
      </c>
      <c r="I112" s="23" t="s">
        <v>200</v>
      </c>
      <c r="J112" s="23" t="s">
        <v>214</v>
      </c>
      <c r="K112" s="56" t="s">
        <v>42</v>
      </c>
      <c r="L112" s="24" t="str">
        <f>IF(RIGHT(K112,2)="WS", LEFT(K112,LEN(K112)-2),K112)</f>
        <v>DAMNIDSTOR</v>
      </c>
      <c r="M112" s="24" t="str">
        <f>INDEX(Active!J:J, MATCH(Spearmans2!L112, Active!F:F,0),1)</f>
        <v>Dam Resevoir NID Volume</v>
      </c>
      <c r="N112" s="24" t="str">
        <f>INDEX(Active!B:B, MATCH(Spearmans2!L112, Active!F:F,0),1)</f>
        <v>Anthropogenic</v>
      </c>
      <c r="O112" s="24" t="str">
        <f>INDEX(Active!K:K, MATCH(Spearmans2!L112, Active!F:F,0),1)</f>
        <v>Volume all reservoirs (NID_STORA in NID) per unit area of AOI (cubic meters/square km)</v>
      </c>
      <c r="P112" s="34" t="s">
        <v>208</v>
      </c>
      <c r="Q112" s="24" t="s">
        <v>92</v>
      </c>
      <c r="R112" s="24" t="s">
        <v>209</v>
      </c>
      <c r="S112" s="28">
        <v>0.83749827211065153</v>
      </c>
    </row>
    <row r="113" spans="1:19" s="20" customFormat="1" x14ac:dyDescent="0.3">
      <c r="A113" s="33" t="s">
        <v>39</v>
      </c>
      <c r="B113" s="23" t="str">
        <f>IF(RIGHT(A113,2)="WS", LEFT(A113,LEN(A113)-2),A113)</f>
        <v>NABD_NRMSTOR</v>
      </c>
      <c r="C113" s="23" t="str">
        <f>INDEX(Active!J:J, MATCH(Spearmans2!B113, Active!F:F,0),1)</f>
        <v>NABD Normal Reservoir Volume</v>
      </c>
      <c r="D113" s="23" t="str">
        <f>INDEX(Active!B:B, MATCH(Spearmans2!B113, Active!F:F,0),1)</f>
        <v>Anthropogenic</v>
      </c>
      <c r="E113" s="23" t="str">
        <f>INDEX(Active!D:D, MATCH(Spearmans2!B113, Active!F:F,0),1)</f>
        <v>Dams</v>
      </c>
      <c r="F113" s="23" t="str">
        <f>INDEX(Active!K:K, MATCH(Spearmans2!B113, Active!F:F,0),1)</f>
        <v>Volume all reservoirs (NORM_STORA in NID) per unit area of AOI (cubic meters/square km)</v>
      </c>
      <c r="G113" s="33" t="s">
        <v>319</v>
      </c>
      <c r="H113" s="23" t="s">
        <v>92</v>
      </c>
      <c r="I113" s="23" t="s">
        <v>200</v>
      </c>
      <c r="J113" s="23" t="s">
        <v>214</v>
      </c>
      <c r="K113" s="56" t="s">
        <v>37</v>
      </c>
      <c r="L113" s="24" t="str">
        <f>IF(RIGHT(K113,2)="WS", LEFT(K113,LEN(K113)-2),K113)</f>
        <v>NABD_DENS</v>
      </c>
      <c r="M113" s="24" t="str">
        <f>INDEX(Active!J:J, MATCH(Spearmans2!L113, Active!F:F,0),1)</f>
        <v>NABD Dam Density</v>
      </c>
      <c r="N113" s="24" t="str">
        <f>INDEX(Active!B:B, MATCH(Spearmans2!L113, Active!F:F,0),1)</f>
        <v>Anthropogenic</v>
      </c>
      <c r="O113" s="24" t="str">
        <f>INDEX(Active!K:K, MATCH(Spearmans2!L113, Active!F:F,0),1)</f>
        <v>Density of georeferenced dams within AOI (dams/ square km)</v>
      </c>
      <c r="P113" s="34" t="s">
        <v>313</v>
      </c>
      <c r="Q113" s="24" t="s">
        <v>92</v>
      </c>
      <c r="R113" s="24" t="s">
        <v>204</v>
      </c>
      <c r="S113" s="28">
        <v>0.99652809029585021</v>
      </c>
    </row>
    <row r="114" spans="1:19" s="21" customFormat="1" x14ac:dyDescent="0.3">
      <c r="A114" s="38" t="s">
        <v>39</v>
      </c>
      <c r="B114" s="29" t="str">
        <f>IF(RIGHT(A114,2)="WS", LEFT(A114,LEN(A114)-2),A114)</f>
        <v>NABD_NRMSTOR</v>
      </c>
      <c r="C114" s="29" t="str">
        <f>INDEX(Active!J:J, MATCH(Spearmans2!B114, Active!F:F,0),1)</f>
        <v>NABD Normal Reservoir Volume</v>
      </c>
      <c r="D114" s="29" t="str">
        <f>INDEX(Active!B:B, MATCH(Spearmans2!B114, Active!F:F,0),1)</f>
        <v>Anthropogenic</v>
      </c>
      <c r="E114" s="29" t="str">
        <f>INDEX(Active!D:D, MATCH(Spearmans2!B114, Active!F:F,0),1)</f>
        <v>Dams</v>
      </c>
      <c r="F114" s="29" t="str">
        <f>INDEX(Active!K:K, MATCH(Spearmans2!B114, Active!F:F,0),1)</f>
        <v>Volume all reservoirs (NORM_STORA in NID) per unit area of AOI (cubic meters/square km)</v>
      </c>
      <c r="G114" s="38" t="s">
        <v>319</v>
      </c>
      <c r="H114" s="29" t="s">
        <v>92</v>
      </c>
      <c r="I114" s="29" t="s">
        <v>200</v>
      </c>
      <c r="J114" s="29" t="s">
        <v>214</v>
      </c>
      <c r="K114" s="57" t="s">
        <v>40</v>
      </c>
      <c r="L114" s="30" t="str">
        <f>IF(RIGHT(K114,2)="WS", LEFT(K114,LEN(K114)-2),K114)</f>
        <v>NABD_NIDSTOR</v>
      </c>
      <c r="M114" s="30" t="str">
        <f>INDEX(Active!J:J, MATCH(Spearmans2!L114, Active!F:F,0),1)</f>
        <v>NABD NID Reservoir Volume</v>
      </c>
      <c r="N114" s="30" t="str">
        <f>INDEX(Active!B:B, MATCH(Spearmans2!L114, Active!F:F,0),1)</f>
        <v>Anthropogenic</v>
      </c>
      <c r="O114" s="30" t="str">
        <f>INDEX(Active!K:K, MATCH(Spearmans2!L114, Active!F:F,0),1)</f>
        <v>Volume all reservoirs (NID_STORA in NID) per unit area of AOI (cubic meters/square km)</v>
      </c>
      <c r="P114" s="53" t="s">
        <v>316</v>
      </c>
      <c r="Q114" s="30" t="s">
        <v>92</v>
      </c>
      <c r="R114" s="30" t="s">
        <v>209</v>
      </c>
      <c r="S114" s="31">
        <v>0.99996847260214849</v>
      </c>
    </row>
    <row r="115" spans="1:19" s="19" customFormat="1" x14ac:dyDescent="0.3">
      <c r="A115" s="37" t="s">
        <v>4</v>
      </c>
      <c r="B115" s="25" t="str">
        <f>IF(RIGHT(A115,2)="WS", LEFT(A115,LEN(A115)-2),A115)</f>
        <v>NANI</v>
      </c>
      <c r="C115" s="25" t="str">
        <f>INDEX(Active!J:J, MATCH(Spearmans2!B115, Active!F:F,0),1)</f>
        <v>Anthropogenic Nitrogen</v>
      </c>
      <c r="D115" s="25" t="str">
        <f>INDEX(Active!B:B, MATCH(Spearmans2!B115, Active!F:F,0),1)</f>
        <v>Anthropogenic</v>
      </c>
      <c r="E115" s="25" t="str">
        <f>INDEX(Active!D:D, MATCH(Spearmans2!B115, Active!F:F,0),1)</f>
        <v>Agriculture</v>
      </c>
      <c r="F115" s="25" t="str">
        <f>INDEX(Active!K:K, MATCH(Spearmans2!B115, Active!F:F,0),1)</f>
        <v>Net Anthropogenic Nitrogen within AOI: farm fertilizer + urban fertilizer + NOx deposition + CBNF + Human and Livestock food - crop N content - livestock N content</v>
      </c>
      <c r="G115" s="37" t="s">
        <v>322</v>
      </c>
      <c r="H115" s="25" t="s">
        <v>92</v>
      </c>
      <c r="I115" s="25" t="s">
        <v>94</v>
      </c>
      <c r="J115" s="25" t="s">
        <v>323</v>
      </c>
      <c r="K115" s="55" t="s">
        <v>7</v>
      </c>
      <c r="L115" s="26" t="str">
        <f>IF(RIGHT(K115,2)="WS", LEFT(K115,LEN(K115)-2),K115)</f>
        <v>BANKFULLDEPTH</v>
      </c>
      <c r="M115" s="26" t="str">
        <f>INDEX(Active!J:J, MATCH(Spearmans2!L115, Active!F:F,0),1)</f>
        <v>Predicted Bankfull Depth</v>
      </c>
      <c r="N115" s="26" t="str">
        <f>INDEX(Active!B:B, MATCH(Spearmans2!L115, Active!F:F,0),1)</f>
        <v>Natural</v>
      </c>
      <c r="O115" s="26" t="str">
        <f>INDEX(Active!K:K, MATCH(Spearmans2!L115, Active!F:F,0),1)</f>
        <v>Predicted bankfull depth: thalweg depth plus bankfull height, which is the height from the water surface to the bankfull stage</v>
      </c>
      <c r="P115" s="52" t="s">
        <v>125</v>
      </c>
      <c r="Q115" s="26" t="s">
        <v>103</v>
      </c>
      <c r="R115" s="26" t="s">
        <v>126</v>
      </c>
      <c r="S115" s="27">
        <v>0.81113225961224422</v>
      </c>
    </row>
    <row r="116" spans="1:19" s="20" customFormat="1" x14ac:dyDescent="0.3">
      <c r="A116" s="33" t="s">
        <v>4</v>
      </c>
      <c r="B116" s="23" t="str">
        <f>IF(RIGHT(A116,2)="WS", LEFT(A116,LEN(A116)-2),A116)</f>
        <v>NANI</v>
      </c>
      <c r="C116" s="23" t="str">
        <f>INDEX(Active!J:J, MATCH(Spearmans2!B116, Active!F:F,0),1)</f>
        <v>Anthropogenic Nitrogen</v>
      </c>
      <c r="D116" s="23" t="str">
        <f>INDEX(Active!B:B, MATCH(Spearmans2!B116, Active!F:F,0),1)</f>
        <v>Anthropogenic</v>
      </c>
      <c r="E116" s="23" t="str">
        <f>INDEX(Active!D:D, MATCH(Spearmans2!B116, Active!F:F,0),1)</f>
        <v>Agriculture</v>
      </c>
      <c r="F116" s="23" t="str">
        <f>INDEX(Active!K:K, MATCH(Spearmans2!B116, Active!F:F,0),1)</f>
        <v>Net Anthropogenic Nitrogen within AOI: farm fertilizer + urban fertilizer + NOx deposition + CBNF + Human and Livestock food - crop N content - livestock N content</v>
      </c>
      <c r="G116" s="33" t="s">
        <v>322</v>
      </c>
      <c r="H116" s="23" t="s">
        <v>92</v>
      </c>
      <c r="I116" s="23" t="s">
        <v>94</v>
      </c>
      <c r="J116" s="23" t="s">
        <v>323</v>
      </c>
      <c r="K116" s="56" t="s">
        <v>6</v>
      </c>
      <c r="L116" s="24" t="str">
        <f>IF(RIGHT(K116,2)="WS", LEFT(K116,LEN(K116)-2),K116)</f>
        <v>BANKFULLWIDTH</v>
      </c>
      <c r="M116" s="24" t="str">
        <f>INDEX(Active!J:J, MATCH(Spearmans2!L116, Active!F:F,0),1)</f>
        <v>Predicted Bankfull Width</v>
      </c>
      <c r="N116" s="24" t="str">
        <f>INDEX(Active!B:B, MATCH(Spearmans2!L116, Active!F:F,0),1)</f>
        <v>Natural</v>
      </c>
      <c r="O116" s="24" t="str">
        <f>INDEX(Active!K:K, MATCH(Spearmans2!L116, Active!F:F,0),1)</f>
        <v>Predicted bankfull width: distance from left to right bank at bankfull stage where the potential water height would spill outside of the channel and into the floodplain</v>
      </c>
      <c r="P116" s="34" t="s">
        <v>131</v>
      </c>
      <c r="Q116" s="24" t="s">
        <v>103</v>
      </c>
      <c r="R116" s="24" t="s">
        <v>132</v>
      </c>
      <c r="S116" s="28">
        <v>0.83988426354725021</v>
      </c>
    </row>
    <row r="117" spans="1:19" s="20" customFormat="1" x14ac:dyDescent="0.3">
      <c r="A117" s="33" t="s">
        <v>4</v>
      </c>
      <c r="B117" s="23" t="str">
        <f>IF(RIGHT(A117,2)="WS", LEFT(A117,LEN(A117)-2),A117)</f>
        <v>NANI</v>
      </c>
      <c r="C117" s="23" t="str">
        <f>INDEX(Active!J:J, MATCH(Spearmans2!B117, Active!F:F,0),1)</f>
        <v>Anthropogenic Nitrogen</v>
      </c>
      <c r="D117" s="23" t="str">
        <f>INDEX(Active!B:B, MATCH(Spearmans2!B117, Active!F:F,0),1)</f>
        <v>Anthropogenic</v>
      </c>
      <c r="E117" s="23" t="str">
        <f>INDEX(Active!D:D, MATCH(Spearmans2!B117, Active!F:F,0),1)</f>
        <v>Agriculture</v>
      </c>
      <c r="F117" s="23" t="str">
        <f>INDEX(Active!K:K, MATCH(Spearmans2!B117, Active!F:F,0),1)</f>
        <v>Net Anthropogenic Nitrogen within AOI: farm fertilizer + urban fertilizer + NOx deposition + CBNF + Human and Livestock food - crop N content - livestock N content</v>
      </c>
      <c r="G117" s="33" t="s">
        <v>322</v>
      </c>
      <c r="H117" s="23" t="s">
        <v>92</v>
      </c>
      <c r="I117" s="23" t="s">
        <v>94</v>
      </c>
      <c r="J117" s="23" t="s">
        <v>323</v>
      </c>
      <c r="K117" s="56" t="s">
        <v>5</v>
      </c>
      <c r="L117" s="24" t="str">
        <f>IF(RIGHT(K117,2)="WS", LEFT(K117,LEN(K117)-2),K117)</f>
        <v>WETTEDWIDTH</v>
      </c>
      <c r="M117" s="24" t="str">
        <f>INDEX(Active!J:J, MATCH(Spearmans2!L117, Active!F:F,0),1)</f>
        <v>Predicted Wetted Width</v>
      </c>
      <c r="N117" s="24" t="str">
        <f>INDEX(Active!B:B, MATCH(Spearmans2!L117, Active!F:F,0),1)</f>
        <v>Natural</v>
      </c>
      <c r="O117" s="24" t="str">
        <f>INDEX(Active!K:K, MATCH(Spearmans2!L117, Active!F:F,0),1)</f>
        <v>Predicted wetted width: distance of the waters edge from left to right bank</v>
      </c>
      <c r="P117" s="34" t="s">
        <v>726</v>
      </c>
      <c r="Q117" s="24" t="s">
        <v>103</v>
      </c>
      <c r="R117" s="24" t="s">
        <v>727</v>
      </c>
      <c r="S117" s="28">
        <v>0.84818721969216482</v>
      </c>
    </row>
    <row r="118" spans="1:19" s="20" customFormat="1" x14ac:dyDescent="0.3">
      <c r="A118" s="33" t="s">
        <v>4</v>
      </c>
      <c r="B118" s="23" t="str">
        <f>IF(RIGHT(A118,2)="WS", LEFT(A118,LEN(A118)-2),A118)</f>
        <v>NANI</v>
      </c>
      <c r="C118" s="23" t="str">
        <f>INDEX(Active!J:J, MATCH(Spearmans2!B118, Active!F:F,0),1)</f>
        <v>Anthropogenic Nitrogen</v>
      </c>
      <c r="D118" s="23" t="str">
        <f>INDEX(Active!B:B, MATCH(Spearmans2!B118, Active!F:F,0),1)</f>
        <v>Anthropogenic</v>
      </c>
      <c r="E118" s="23" t="str">
        <f>INDEX(Active!D:D, MATCH(Spearmans2!B118, Active!F:F,0),1)</f>
        <v>Agriculture</v>
      </c>
      <c r="F118" s="23" t="str">
        <f>INDEX(Active!K:K, MATCH(Spearmans2!B118, Active!F:F,0),1)</f>
        <v>Net Anthropogenic Nitrogen within AOI: farm fertilizer + urban fertilizer + NOx deposition + CBNF + Human and Livestock food - crop N content - livestock N content</v>
      </c>
      <c r="G118" s="33" t="s">
        <v>322</v>
      </c>
      <c r="H118" s="23" t="s">
        <v>92</v>
      </c>
      <c r="I118" s="23" t="s">
        <v>94</v>
      </c>
      <c r="J118" s="23" t="s">
        <v>323</v>
      </c>
      <c r="K118" s="56" t="s">
        <v>763</v>
      </c>
      <c r="L118" s="24" t="str">
        <f>IF(RIGHT(K118,2)="WS", LEFT(K118,LEN(K118)-2),K118)</f>
        <v>THALWEGDEPTH</v>
      </c>
      <c r="M118" s="24" t="e">
        <f>INDEX(Active!J:J, MATCH(Spearmans2!L118, Active!F:F,0),1)</f>
        <v>#N/A</v>
      </c>
      <c r="N118" s="24" t="e">
        <f>INDEX(Active!B:B, MATCH(Spearmans2!L118, Active!F:F,0),1)</f>
        <v>#N/A</v>
      </c>
      <c r="O118" s="24" t="e">
        <f>INDEX(Active!K:K, MATCH(Spearmans2!L118, Active!F:F,0),1)</f>
        <v>#N/A</v>
      </c>
      <c r="P118" s="34" t="e">
        <v>#N/A</v>
      </c>
      <c r="Q118" s="24" t="e">
        <v>#N/A</v>
      </c>
      <c r="R118" s="24" t="e">
        <v>#N/A</v>
      </c>
      <c r="S118" s="28">
        <v>0.88083328268096062</v>
      </c>
    </row>
    <row r="119" spans="1:19" s="21" customFormat="1" x14ac:dyDescent="0.3">
      <c r="A119" s="38" t="s">
        <v>4</v>
      </c>
      <c r="B119" s="29" t="str">
        <f>IF(RIGHT(A119,2)="WS", LEFT(A119,LEN(A119)-2),A119)</f>
        <v>NANI</v>
      </c>
      <c r="C119" s="29" t="str">
        <f>INDEX(Active!J:J, MATCH(Spearmans2!B119, Active!F:F,0),1)</f>
        <v>Anthropogenic Nitrogen</v>
      </c>
      <c r="D119" s="29" t="str">
        <f>INDEX(Active!B:B, MATCH(Spearmans2!B119, Active!F:F,0),1)</f>
        <v>Anthropogenic</v>
      </c>
      <c r="E119" s="29" t="str">
        <f>INDEX(Active!D:D, MATCH(Spearmans2!B119, Active!F:F,0),1)</f>
        <v>Agriculture</v>
      </c>
      <c r="F119" s="29" t="str">
        <f>INDEX(Active!K:K, MATCH(Spearmans2!B119, Active!F:F,0),1)</f>
        <v>Net Anthropogenic Nitrogen within AOI: farm fertilizer + urban fertilizer + NOx deposition + CBNF + Human and Livestock food - crop N content - livestock N content</v>
      </c>
      <c r="G119" s="38" t="s">
        <v>322</v>
      </c>
      <c r="H119" s="29" t="s">
        <v>92</v>
      </c>
      <c r="I119" s="29" t="s">
        <v>94</v>
      </c>
      <c r="J119" s="29" t="s">
        <v>323</v>
      </c>
      <c r="K119" s="57" t="s">
        <v>3</v>
      </c>
      <c r="L119" s="30" t="str">
        <f>IF(RIGHT(K119,2)="WS", LEFT(K119,LEN(K119)-2),K119)</f>
        <v>NSURP</v>
      </c>
      <c r="M119" s="30" t="str">
        <f>INDEX(Active!J:J, MATCH(Spearmans2!L119, Active!F:F,0),1)</f>
        <v>Nitrogen Surplus</v>
      </c>
      <c r="N119" s="30" t="str">
        <f>INDEX(Active!B:B, MATCH(Spearmans2!L119, Active!F:F,0),1)</f>
        <v>Anthropogenic</v>
      </c>
      <c r="O119" s="30" t="str">
        <f>INDEX(Active!K:K, MATCH(Spearmans2!L119, Active!F:F,0),1)</f>
        <v>Nitrogen Surplus (kg N / yr) per AOI - excluding biological N Fixation</v>
      </c>
      <c r="P119" s="53" t="s">
        <v>341</v>
      </c>
      <c r="Q119" s="30" t="s">
        <v>92</v>
      </c>
      <c r="R119" s="30" t="s">
        <v>342</v>
      </c>
      <c r="S119" s="31">
        <v>0.99655682571898763</v>
      </c>
    </row>
    <row r="120" spans="1:19" s="19" customFormat="1" x14ac:dyDescent="0.3">
      <c r="A120" s="37" t="s">
        <v>31</v>
      </c>
      <c r="B120" s="25" t="str">
        <f>IF(RIGHT(A120,2)="WS", LEFT(A120,LEN(A120)-2),A120)</f>
        <v>NH42008</v>
      </c>
      <c r="C120" s="25" t="str">
        <f>INDEX(Active!J:J, MATCH(Spearmans2!B120, Active!F:F,0),1)</f>
        <v>Mean annual Precipitation-Weighted NH4 Mean</v>
      </c>
      <c r="D120" s="25" t="str">
        <f>INDEX(Active!B:B, MATCH(Spearmans2!B120, Active!F:F,0),1)</f>
        <v>Natural</v>
      </c>
      <c r="E120" s="25" t="str">
        <f>INDEX(Active!D:D, MATCH(Spearmans2!B120, Active!F:F,0),1)</f>
        <v>Climate</v>
      </c>
      <c r="F120" s="25" t="str">
        <f>INDEX(Active!K:K, MATCH(Spearmans2!B120, Active!F:F,0),1)</f>
        <v>Annual gradient map of precipitation-weighted mean deposition for ammonium ion concentration wet deposition for 2008 in kg of NH4/ha/yr, within AOI</v>
      </c>
      <c r="G120" s="37" t="s">
        <v>328</v>
      </c>
      <c r="H120" s="25" t="s">
        <v>103</v>
      </c>
      <c r="I120" s="25" t="s">
        <v>133</v>
      </c>
      <c r="J120" s="25" t="s">
        <v>329</v>
      </c>
      <c r="K120" s="55" t="s">
        <v>29</v>
      </c>
      <c r="L120" s="26" t="str">
        <f>IF(RIGHT(K120,2)="WS", LEFT(K120,LEN(K120)-2),K120)</f>
        <v>PRECIP2008</v>
      </c>
      <c r="M120" s="26" t="str">
        <f>INDEX(Active!J:J, MATCH(Spearmans2!L120, Active!F:F,0),1)</f>
        <v>Mean Precipitation</v>
      </c>
      <c r="N120" s="26" t="str">
        <f>INDEX(Active!B:B, MATCH(Spearmans2!L120, Active!F:F,0),1)</f>
        <v>Natural</v>
      </c>
      <c r="O120" s="26" t="str">
        <f>INDEX(Active!K:K, MATCH(Spearmans2!L120, Active!F:F,0),1)</f>
        <v>PRISM climate data - 30-year normal mean precipitation (mm): Annual period: 2008 and 2009 within the AOI</v>
      </c>
      <c r="P120" s="52" t="s">
        <v>580</v>
      </c>
      <c r="Q120" s="26" t="s">
        <v>103</v>
      </c>
      <c r="R120" s="26" t="s">
        <v>581</v>
      </c>
      <c r="S120" s="27">
        <v>0.82799085659161542</v>
      </c>
    </row>
    <row r="121" spans="1:19" s="20" customFormat="1" x14ac:dyDescent="0.3">
      <c r="A121" s="33" t="s">
        <v>31</v>
      </c>
      <c r="B121" s="23" t="str">
        <f>IF(RIGHT(A121,2)="WS", LEFT(A121,LEN(A121)-2),A121)</f>
        <v>NH42008</v>
      </c>
      <c r="C121" s="23" t="str">
        <f>INDEX(Active!J:J, MATCH(Spearmans2!B121, Active!F:F,0),1)</f>
        <v>Mean annual Precipitation-Weighted NH4 Mean</v>
      </c>
      <c r="D121" s="23" t="str">
        <f>INDEX(Active!B:B, MATCH(Spearmans2!B121, Active!F:F,0),1)</f>
        <v>Natural</v>
      </c>
      <c r="E121" s="23" t="str">
        <f>INDEX(Active!D:D, MATCH(Spearmans2!B121, Active!F:F,0),1)</f>
        <v>Climate</v>
      </c>
      <c r="F121" s="23" t="str">
        <f>INDEX(Active!K:K, MATCH(Spearmans2!B121, Active!F:F,0),1)</f>
        <v>Annual gradient map of precipitation-weighted mean deposition for ammonium ion concentration wet deposition for 2008 in kg of NH4/ha/yr, within AOI</v>
      </c>
      <c r="G121" s="33" t="s">
        <v>328</v>
      </c>
      <c r="H121" s="23" t="s">
        <v>103</v>
      </c>
      <c r="I121" s="23" t="s">
        <v>133</v>
      </c>
      <c r="J121" s="23" t="s">
        <v>329</v>
      </c>
      <c r="K121" s="56" t="s">
        <v>27</v>
      </c>
      <c r="L121" s="24" t="str">
        <f>IF(RIGHT(K121,2)="WS", LEFT(K121,LEN(K121)-2),K121)</f>
        <v>PRECIP8110</v>
      </c>
      <c r="M121" s="24" t="str">
        <f>INDEX(Active!J:J, MATCH(Spearmans2!L121, Active!F:F,0),1)</f>
        <v>30-year Mean Annual Precipitation</v>
      </c>
      <c r="N121" s="24" t="str">
        <f>INDEX(Active!B:B, MATCH(Spearmans2!L121, Active!F:F,0),1)</f>
        <v>Natural</v>
      </c>
      <c r="O121" s="24" t="str">
        <f>INDEX(Active!K:K, MATCH(Spearmans2!L121, Active!F:F,0),1)</f>
        <v>PRISM climate data - 30-year normal mean precipitation (mm): Annual period: 1981-2010 within AOI</v>
      </c>
      <c r="P121" s="34" t="s">
        <v>591</v>
      </c>
      <c r="Q121" s="24" t="s">
        <v>103</v>
      </c>
      <c r="R121" s="24" t="s">
        <v>592</v>
      </c>
      <c r="S121" s="28">
        <v>0.84664382043239461</v>
      </c>
    </row>
    <row r="122" spans="1:19" s="20" customFormat="1" x14ac:dyDescent="0.3">
      <c r="A122" s="33" t="s">
        <v>31</v>
      </c>
      <c r="B122" s="23" t="str">
        <f>IF(RIGHT(A122,2)="WS", LEFT(A122,LEN(A122)-2),A122)</f>
        <v>NH42008</v>
      </c>
      <c r="C122" s="23" t="str">
        <f>INDEX(Active!J:J, MATCH(Spearmans2!B122, Active!F:F,0),1)</f>
        <v>Mean annual Precipitation-Weighted NH4 Mean</v>
      </c>
      <c r="D122" s="23" t="str">
        <f>INDEX(Active!B:B, MATCH(Spearmans2!B122, Active!F:F,0),1)</f>
        <v>Natural</v>
      </c>
      <c r="E122" s="23" t="str">
        <f>INDEX(Active!D:D, MATCH(Spearmans2!B122, Active!F:F,0),1)</f>
        <v>Climate</v>
      </c>
      <c r="F122" s="23" t="str">
        <f>INDEX(Active!K:K, MATCH(Spearmans2!B122, Active!F:F,0),1)</f>
        <v>Annual gradient map of precipitation-weighted mean deposition for ammonium ion concentration wet deposition for 2008 in kg of NH4/ha/yr, within AOI</v>
      </c>
      <c r="G122" s="33" t="s">
        <v>328</v>
      </c>
      <c r="H122" s="23" t="s">
        <v>103</v>
      </c>
      <c r="I122" s="23" t="s">
        <v>133</v>
      </c>
      <c r="J122" s="23" t="s">
        <v>329</v>
      </c>
      <c r="K122" s="56" t="s">
        <v>762</v>
      </c>
      <c r="L122" s="24" t="str">
        <f>IF(RIGHT(K122,2)="WS", LEFT(K122,LEN(K122)-2),K122)</f>
        <v>PRECIP_MINUS_EVT</v>
      </c>
      <c r="M122" s="24" t="str">
        <f>INDEX(Active!J:J, MATCH(Spearmans2!L122, Active!F:F,0),1)</f>
        <v>Surplus Precipitation</v>
      </c>
      <c r="N122" s="24" t="str">
        <f>INDEX(Active!B:B, MATCH(Spearmans2!L122, Active!F:F,0),1)</f>
        <v>Natural</v>
      </c>
      <c r="O122" s="24" t="str">
        <f>INDEX(Active!K:K, MATCH(Spearmans2!L122,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122" s="34" t="s">
        <v>587</v>
      </c>
      <c r="Q122" s="24" t="s">
        <v>103</v>
      </c>
      <c r="R122" s="24" t="s">
        <v>588</v>
      </c>
      <c r="S122" s="28">
        <v>0.84791260182159089</v>
      </c>
    </row>
    <row r="123" spans="1:19" s="20" customFormat="1" x14ac:dyDescent="0.3">
      <c r="A123" s="33" t="s">
        <v>31</v>
      </c>
      <c r="B123" s="23" t="str">
        <f>IF(RIGHT(A123,2)="WS", LEFT(A123,LEN(A123)-2),A123)</f>
        <v>NH42008</v>
      </c>
      <c r="C123" s="23" t="str">
        <f>INDEX(Active!J:J, MATCH(Spearmans2!B123, Active!F:F,0),1)</f>
        <v>Mean annual Precipitation-Weighted NH4 Mean</v>
      </c>
      <c r="D123" s="23" t="str">
        <f>INDEX(Active!B:B, MATCH(Spearmans2!B123, Active!F:F,0),1)</f>
        <v>Natural</v>
      </c>
      <c r="E123" s="23" t="str">
        <f>INDEX(Active!D:D, MATCH(Spearmans2!B123, Active!F:F,0),1)</f>
        <v>Climate</v>
      </c>
      <c r="F123" s="23" t="str">
        <f>INDEX(Active!K:K, MATCH(Spearmans2!B123, Active!F:F,0),1)</f>
        <v>Annual gradient map of precipitation-weighted mean deposition for ammonium ion concentration wet deposition for 2008 in kg of NH4/ha/yr, within AOI</v>
      </c>
      <c r="G123" s="33" t="s">
        <v>328</v>
      </c>
      <c r="H123" s="23" t="s">
        <v>103</v>
      </c>
      <c r="I123" s="23" t="s">
        <v>133</v>
      </c>
      <c r="J123" s="23" t="s">
        <v>329</v>
      </c>
      <c r="K123" s="56" t="s">
        <v>33</v>
      </c>
      <c r="L123" s="24" t="str">
        <f>IF(RIGHT(K123,2)="WS", LEFT(K123,LEN(K123)-2),K123)</f>
        <v>PRECIP9120</v>
      </c>
      <c r="M123" s="24" t="str">
        <f>INDEX(Active!J:J, MATCH(Spearmans2!L123, Active!F:F,0),1)</f>
        <v>30-year Mean Annual Precipitation</v>
      </c>
      <c r="N123" s="24" t="str">
        <f>INDEX(Active!B:B, MATCH(Spearmans2!L123, Active!F:F,0),1)</f>
        <v>Natural</v>
      </c>
      <c r="O123" s="24" t="str">
        <f>INDEX(Active!K:K, MATCH(Spearmans2!L123, Active!F:F,0),1)</f>
        <v>PRISM climate data - 30-year normal mean precipitation (mm): Annual period: 1991-2020 within the AOI</v>
      </c>
      <c r="P123" s="34" t="s">
        <v>591</v>
      </c>
      <c r="Q123" s="24" t="s">
        <v>103</v>
      </c>
      <c r="R123" s="24" t="s">
        <v>596</v>
      </c>
      <c r="S123" s="28">
        <v>0.84792858410393335</v>
      </c>
    </row>
    <row r="124" spans="1:19" s="20" customFormat="1" x14ac:dyDescent="0.3">
      <c r="A124" s="33" t="s">
        <v>31</v>
      </c>
      <c r="B124" s="23" t="str">
        <f>IF(RIGHT(A124,2)="WS", LEFT(A124,LEN(A124)-2),A124)</f>
        <v>NH42008</v>
      </c>
      <c r="C124" s="23" t="str">
        <f>INDEX(Active!J:J, MATCH(Spearmans2!B124, Active!F:F,0),1)</f>
        <v>Mean annual Precipitation-Weighted NH4 Mean</v>
      </c>
      <c r="D124" s="23" t="str">
        <f>INDEX(Active!B:B, MATCH(Spearmans2!B124, Active!F:F,0),1)</f>
        <v>Natural</v>
      </c>
      <c r="E124" s="23" t="str">
        <f>INDEX(Active!D:D, MATCH(Spearmans2!B124, Active!F:F,0),1)</f>
        <v>Climate</v>
      </c>
      <c r="F124" s="23" t="str">
        <f>INDEX(Active!K:K, MATCH(Spearmans2!B124, Active!F:F,0),1)</f>
        <v>Annual gradient map of precipitation-weighted mean deposition for ammonium ion concentration wet deposition for 2008 in kg of NH4/ha/yr, within AOI</v>
      </c>
      <c r="G124" s="33" t="s">
        <v>328</v>
      </c>
      <c r="H124" s="23" t="s">
        <v>103</v>
      </c>
      <c r="I124" s="23" t="s">
        <v>133</v>
      </c>
      <c r="J124" s="23" t="s">
        <v>329</v>
      </c>
      <c r="K124" s="56" t="s">
        <v>28</v>
      </c>
      <c r="L124" s="24" t="str">
        <f>IF(RIGHT(K124,2)="WS", LEFT(K124,LEN(K124)-2),K124)</f>
        <v>NO32008</v>
      </c>
      <c r="M124" s="24" t="str">
        <f>INDEX(Active!J:J, MATCH(Spearmans2!L124, Active!F:F,0),1)</f>
        <v>Mean Annual Precipitation-Weighted NO3 Mean</v>
      </c>
      <c r="N124" s="24" t="str">
        <f>INDEX(Active!B:B, MATCH(Spearmans2!L124, Active!F:F,0),1)</f>
        <v>Natural</v>
      </c>
      <c r="O124" s="24" t="str">
        <f>INDEX(Active!K:K, MATCH(Spearmans2!L124, Active!F:F,0),1)</f>
        <v>Annual gradient map of precipitation-weighted mean deposition for nitrate ion concentration wet deposition for 2008 in kg of NO3/ha/yr, within AOI</v>
      </c>
      <c r="P124" s="34" t="s">
        <v>332</v>
      </c>
      <c r="Q124" s="24" t="s">
        <v>103</v>
      </c>
      <c r="R124" s="24" t="s">
        <v>333</v>
      </c>
      <c r="S124" s="28">
        <v>0.96267018014242633</v>
      </c>
    </row>
    <row r="125" spans="1:19" s="20" customFormat="1" x14ac:dyDescent="0.3">
      <c r="A125" s="33" t="s">
        <v>31</v>
      </c>
      <c r="B125" s="23" t="str">
        <f>IF(RIGHT(A125,2)="WS", LEFT(A125,LEN(A125)-2),A125)</f>
        <v>NH42008</v>
      </c>
      <c r="C125" s="23" t="str">
        <f>INDEX(Active!J:J, MATCH(Spearmans2!B125, Active!F:F,0),1)</f>
        <v>Mean annual Precipitation-Weighted NH4 Mean</v>
      </c>
      <c r="D125" s="23" t="str">
        <f>INDEX(Active!B:B, MATCH(Spearmans2!B125, Active!F:F,0),1)</f>
        <v>Natural</v>
      </c>
      <c r="E125" s="23" t="str">
        <f>INDEX(Active!D:D, MATCH(Spearmans2!B125, Active!F:F,0),1)</f>
        <v>Climate</v>
      </c>
      <c r="F125" s="23" t="str">
        <f>INDEX(Active!K:K, MATCH(Spearmans2!B125, Active!F:F,0),1)</f>
        <v>Annual gradient map of precipitation-weighted mean deposition for ammonium ion concentration wet deposition for 2008 in kg of NH4/ha/yr, within AOI</v>
      </c>
      <c r="G125" s="33" t="s">
        <v>328</v>
      </c>
      <c r="H125" s="23" t="s">
        <v>103</v>
      </c>
      <c r="I125" s="23" t="s">
        <v>133</v>
      </c>
      <c r="J125" s="23" t="s">
        <v>329</v>
      </c>
      <c r="K125" s="56" t="s">
        <v>32</v>
      </c>
      <c r="L125" s="24" t="str">
        <f>IF(RIGHT(K125,2)="WS", LEFT(K125,LEN(K125)-2),K125)</f>
        <v>SN2008</v>
      </c>
      <c r="M125" s="24" t="str">
        <f>INDEX(Active!J:J, MATCH(Spearmans2!L125, Active!F:F,0),1)</f>
        <v>Annual Mean Sulfur and Nitrogen Wet Deposition</v>
      </c>
      <c r="N125" s="24" t="str">
        <f>INDEX(Active!B:B, MATCH(Spearmans2!L125, Active!F:F,0),1)</f>
        <v>Natural</v>
      </c>
      <c r="O125" s="24" t="str">
        <f>INDEX(Active!K:K, MATCH(Spearmans2!L125, Active!F:F,0),1)</f>
        <v>Annual gradient map of precipitation-weighted mean deposition for average sulfur &amp; nitrogen wet deposition for 2008 in kg of S+N/ha/yr, within AOI</v>
      </c>
      <c r="P125" s="34" t="s">
        <v>663</v>
      </c>
      <c r="Q125" s="24" t="s">
        <v>103</v>
      </c>
      <c r="R125" s="24" t="s">
        <v>664</v>
      </c>
      <c r="S125" s="28">
        <v>0.98088712756171592</v>
      </c>
    </row>
    <row r="126" spans="1:19" s="21" customFormat="1" x14ac:dyDescent="0.3">
      <c r="A126" s="38" t="s">
        <v>31</v>
      </c>
      <c r="B126" s="29" t="str">
        <f>IF(RIGHT(A126,2)="WS", LEFT(A126,LEN(A126)-2),A126)</f>
        <v>NH42008</v>
      </c>
      <c r="C126" s="29" t="str">
        <f>INDEX(Active!J:J, MATCH(Spearmans2!B126, Active!F:F,0),1)</f>
        <v>Mean annual Precipitation-Weighted NH4 Mean</v>
      </c>
      <c r="D126" s="29" t="str">
        <f>INDEX(Active!B:B, MATCH(Spearmans2!B126, Active!F:F,0),1)</f>
        <v>Natural</v>
      </c>
      <c r="E126" s="29" t="str">
        <f>INDEX(Active!D:D, MATCH(Spearmans2!B126, Active!F:F,0),1)</f>
        <v>Climate</v>
      </c>
      <c r="F126" s="29" t="str">
        <f>INDEX(Active!K:K, MATCH(Spearmans2!B126, Active!F:F,0),1)</f>
        <v>Annual gradient map of precipitation-weighted mean deposition for ammonium ion concentration wet deposition for 2008 in kg of NH4/ha/yr, within AOI</v>
      </c>
      <c r="G126" s="38" t="s">
        <v>328</v>
      </c>
      <c r="H126" s="29" t="s">
        <v>103</v>
      </c>
      <c r="I126" s="29" t="s">
        <v>133</v>
      </c>
      <c r="J126" s="29" t="s">
        <v>329</v>
      </c>
      <c r="K126" s="57" t="s">
        <v>30</v>
      </c>
      <c r="L126" s="30" t="str">
        <f>IF(RIGHT(K126,2)="WS", LEFT(K126,LEN(K126)-2),K126)</f>
        <v>INORGNWETDEP2008</v>
      </c>
      <c r="M126" s="30" t="str">
        <f>INDEX(Active!J:J, MATCH(Spearmans2!L126, Active!F:F,0),1)</f>
        <v>Mean Annual Precipitation-Weighted Nitrogen</v>
      </c>
      <c r="N126" s="30" t="str">
        <f>INDEX(Active!B:B, MATCH(Spearmans2!L126, Active!F:F,0),1)</f>
        <v>Natural</v>
      </c>
      <c r="O126" s="30" t="str">
        <f>INDEX(Active!K:K, MATCH(Spearmans2!L126, Active!F:F,0),1)</f>
        <v>Annual gradient map of precipitation-weighted mean deposition for inorganic nitrogen wet deposition from nitrate and ammonium for 2008 in kg of N/ha/yr, within AOI</v>
      </c>
      <c r="P126" s="53" t="s">
        <v>257</v>
      </c>
      <c r="Q126" s="30" t="s">
        <v>103</v>
      </c>
      <c r="R126" s="30" t="s">
        <v>258</v>
      </c>
      <c r="S126" s="31">
        <v>0.99380199694908333</v>
      </c>
    </row>
    <row r="127" spans="1:19" s="19" customFormat="1" x14ac:dyDescent="0.3">
      <c r="A127" s="37" t="s">
        <v>28</v>
      </c>
      <c r="B127" s="25" t="str">
        <f>IF(RIGHT(A127,2)="WS", LEFT(A127,LEN(A127)-2),A127)</f>
        <v>NO32008</v>
      </c>
      <c r="C127" s="25" t="str">
        <f>INDEX(Active!J:J, MATCH(Spearmans2!B127, Active!F:F,0),1)</f>
        <v>Mean Annual Precipitation-Weighted NO3 Mean</v>
      </c>
      <c r="D127" s="25" t="str">
        <f>INDEX(Active!B:B, MATCH(Spearmans2!B127, Active!F:F,0),1)</f>
        <v>Natural</v>
      </c>
      <c r="E127" s="25" t="str">
        <f>INDEX(Active!D:D, MATCH(Spearmans2!B127, Active!F:F,0),1)</f>
        <v>Climate</v>
      </c>
      <c r="F127" s="25" t="str">
        <f>INDEX(Active!K:K, MATCH(Spearmans2!B127, Active!F:F,0),1)</f>
        <v>Annual gradient map of precipitation-weighted mean deposition for nitrate ion concentration wet deposition for 2008 in kg of NO3/ha/yr, within AOI</v>
      </c>
      <c r="G127" s="37" t="s">
        <v>332</v>
      </c>
      <c r="H127" s="25" t="s">
        <v>103</v>
      </c>
      <c r="I127" s="25" t="s">
        <v>133</v>
      </c>
      <c r="J127" s="25" t="s">
        <v>333</v>
      </c>
      <c r="K127" s="55" t="s">
        <v>29</v>
      </c>
      <c r="L127" s="26" t="str">
        <f>IF(RIGHT(K127,2)="WS", LEFT(K127,LEN(K127)-2),K127)</f>
        <v>PRECIP2008</v>
      </c>
      <c r="M127" s="26" t="str">
        <f>INDEX(Active!J:J, MATCH(Spearmans2!L127, Active!F:F,0),1)</f>
        <v>Mean Precipitation</v>
      </c>
      <c r="N127" s="26" t="str">
        <f>INDEX(Active!B:B, MATCH(Spearmans2!L127, Active!F:F,0),1)</f>
        <v>Natural</v>
      </c>
      <c r="O127" s="26" t="str">
        <f>INDEX(Active!K:K, MATCH(Spearmans2!L127, Active!F:F,0),1)</f>
        <v>PRISM climate data - 30-year normal mean precipitation (mm): Annual period: 2008 and 2009 within the AOI</v>
      </c>
      <c r="P127" s="52" t="s">
        <v>580</v>
      </c>
      <c r="Q127" s="26" t="s">
        <v>103</v>
      </c>
      <c r="R127" s="26" t="s">
        <v>581</v>
      </c>
      <c r="S127" s="27">
        <v>0.88238610844010124</v>
      </c>
    </row>
    <row r="128" spans="1:19" s="20" customFormat="1" x14ac:dyDescent="0.3">
      <c r="A128" s="33" t="s">
        <v>28</v>
      </c>
      <c r="B128" s="23" t="str">
        <f>IF(RIGHT(A128,2)="WS", LEFT(A128,LEN(A128)-2),A128)</f>
        <v>NO32008</v>
      </c>
      <c r="C128" s="23" t="str">
        <f>INDEX(Active!J:J, MATCH(Spearmans2!B128, Active!F:F,0),1)</f>
        <v>Mean Annual Precipitation-Weighted NO3 Mean</v>
      </c>
      <c r="D128" s="23" t="str">
        <f>INDEX(Active!B:B, MATCH(Spearmans2!B128, Active!F:F,0),1)</f>
        <v>Natural</v>
      </c>
      <c r="E128" s="23" t="str">
        <f>INDEX(Active!D:D, MATCH(Spearmans2!B128, Active!F:F,0),1)</f>
        <v>Climate</v>
      </c>
      <c r="F128" s="23" t="str">
        <f>INDEX(Active!K:K, MATCH(Spearmans2!B128, Active!F:F,0),1)</f>
        <v>Annual gradient map of precipitation-weighted mean deposition for nitrate ion concentration wet deposition for 2008 in kg of NO3/ha/yr, within AOI</v>
      </c>
      <c r="G128" s="33" t="s">
        <v>332</v>
      </c>
      <c r="H128" s="23" t="s">
        <v>103</v>
      </c>
      <c r="I128" s="23" t="s">
        <v>133</v>
      </c>
      <c r="J128" s="23" t="s">
        <v>333</v>
      </c>
      <c r="K128" s="56" t="s">
        <v>27</v>
      </c>
      <c r="L128" s="24" t="str">
        <f>IF(RIGHT(K128,2)="WS", LEFT(K128,LEN(K128)-2),K128)</f>
        <v>PRECIP8110</v>
      </c>
      <c r="M128" s="24" t="str">
        <f>INDEX(Active!J:J, MATCH(Spearmans2!L128, Active!F:F,0),1)</f>
        <v>30-year Mean Annual Precipitation</v>
      </c>
      <c r="N128" s="24" t="str">
        <f>INDEX(Active!B:B, MATCH(Spearmans2!L128, Active!F:F,0),1)</f>
        <v>Natural</v>
      </c>
      <c r="O128" s="24" t="str">
        <f>INDEX(Active!K:K, MATCH(Spearmans2!L128, Active!F:F,0),1)</f>
        <v>PRISM climate data - 30-year normal mean precipitation (mm): Annual period: 1981-2010 within AOI</v>
      </c>
      <c r="P128" s="34" t="s">
        <v>591</v>
      </c>
      <c r="Q128" s="24" t="s">
        <v>103</v>
      </c>
      <c r="R128" s="24" t="s">
        <v>592</v>
      </c>
      <c r="S128" s="28">
        <v>0.88954629614261582</v>
      </c>
    </row>
    <row r="129" spans="1:19" s="20" customFormat="1" x14ac:dyDescent="0.3">
      <c r="A129" s="33" t="s">
        <v>28</v>
      </c>
      <c r="B129" s="23" t="str">
        <f>IF(RIGHT(A129,2)="WS", LEFT(A129,LEN(A129)-2),A129)</f>
        <v>NO32008</v>
      </c>
      <c r="C129" s="23" t="str">
        <f>INDEX(Active!J:J, MATCH(Spearmans2!B129, Active!F:F,0),1)</f>
        <v>Mean Annual Precipitation-Weighted NO3 Mean</v>
      </c>
      <c r="D129" s="23" t="str">
        <f>INDEX(Active!B:B, MATCH(Spearmans2!B129, Active!F:F,0),1)</f>
        <v>Natural</v>
      </c>
      <c r="E129" s="23" t="str">
        <f>INDEX(Active!D:D, MATCH(Spearmans2!B129, Active!F:F,0),1)</f>
        <v>Climate</v>
      </c>
      <c r="F129" s="23" t="str">
        <f>INDEX(Active!K:K, MATCH(Spearmans2!B129, Active!F:F,0),1)</f>
        <v>Annual gradient map of precipitation-weighted mean deposition for nitrate ion concentration wet deposition for 2008 in kg of NO3/ha/yr, within AOI</v>
      </c>
      <c r="G129" s="33" t="s">
        <v>332</v>
      </c>
      <c r="H129" s="23" t="s">
        <v>103</v>
      </c>
      <c r="I129" s="23" t="s">
        <v>133</v>
      </c>
      <c r="J129" s="23" t="s">
        <v>333</v>
      </c>
      <c r="K129" s="56" t="s">
        <v>33</v>
      </c>
      <c r="L129" s="24" t="str">
        <f>IF(RIGHT(K129,2)="WS", LEFT(K129,LEN(K129)-2),K129)</f>
        <v>PRECIP9120</v>
      </c>
      <c r="M129" s="24" t="str">
        <f>INDEX(Active!J:J, MATCH(Spearmans2!L129, Active!F:F,0),1)</f>
        <v>30-year Mean Annual Precipitation</v>
      </c>
      <c r="N129" s="24" t="str">
        <f>INDEX(Active!B:B, MATCH(Spearmans2!L129, Active!F:F,0),1)</f>
        <v>Natural</v>
      </c>
      <c r="O129" s="24" t="str">
        <f>INDEX(Active!K:K, MATCH(Spearmans2!L129, Active!F:F,0),1)</f>
        <v>PRISM climate data - 30-year normal mean precipitation (mm): Annual period: 1991-2020 within the AOI</v>
      </c>
      <c r="P129" s="34" t="s">
        <v>591</v>
      </c>
      <c r="Q129" s="24" t="s">
        <v>103</v>
      </c>
      <c r="R129" s="24" t="s">
        <v>596</v>
      </c>
      <c r="S129" s="28">
        <v>0.89235029560104639</v>
      </c>
    </row>
    <row r="130" spans="1:19" s="20" customFormat="1" x14ac:dyDescent="0.3">
      <c r="A130" s="33" t="s">
        <v>28</v>
      </c>
      <c r="B130" s="23" t="str">
        <f>IF(RIGHT(A130,2)="WS", LEFT(A130,LEN(A130)-2),A130)</f>
        <v>NO32008</v>
      </c>
      <c r="C130" s="23" t="str">
        <f>INDEX(Active!J:J, MATCH(Spearmans2!B130, Active!F:F,0),1)</f>
        <v>Mean Annual Precipitation-Weighted NO3 Mean</v>
      </c>
      <c r="D130" s="23" t="str">
        <f>INDEX(Active!B:B, MATCH(Spearmans2!B130, Active!F:F,0),1)</f>
        <v>Natural</v>
      </c>
      <c r="E130" s="23" t="str">
        <f>INDEX(Active!D:D, MATCH(Spearmans2!B130, Active!F:F,0),1)</f>
        <v>Climate</v>
      </c>
      <c r="F130" s="23" t="str">
        <f>INDEX(Active!K:K, MATCH(Spearmans2!B130, Active!F:F,0),1)</f>
        <v>Annual gradient map of precipitation-weighted mean deposition for nitrate ion concentration wet deposition for 2008 in kg of NO3/ha/yr, within AOI</v>
      </c>
      <c r="G130" s="33" t="s">
        <v>332</v>
      </c>
      <c r="H130" s="23" t="s">
        <v>103</v>
      </c>
      <c r="I130" s="23" t="s">
        <v>133</v>
      </c>
      <c r="J130" s="23" t="s">
        <v>333</v>
      </c>
      <c r="K130" s="56" t="s">
        <v>762</v>
      </c>
      <c r="L130" s="24" t="str">
        <f>IF(RIGHT(K130,2)="WS", LEFT(K130,LEN(K130)-2),K130)</f>
        <v>PRECIP_MINUS_EVT</v>
      </c>
      <c r="M130" s="24" t="str">
        <f>INDEX(Active!J:J, MATCH(Spearmans2!L130, Active!F:F,0),1)</f>
        <v>Surplus Precipitation</v>
      </c>
      <c r="N130" s="24" t="str">
        <f>INDEX(Active!B:B, MATCH(Spearmans2!L130, Active!F:F,0),1)</f>
        <v>Natural</v>
      </c>
      <c r="O130" s="24" t="str">
        <f>INDEX(Active!K:K, MATCH(Spearmans2!L130,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130" s="34" t="s">
        <v>587</v>
      </c>
      <c r="Q130" s="24" t="s">
        <v>103</v>
      </c>
      <c r="R130" s="24" t="s">
        <v>588</v>
      </c>
      <c r="S130" s="28">
        <v>0.89309062988101662</v>
      </c>
    </row>
    <row r="131" spans="1:19" s="20" customFormat="1" x14ac:dyDescent="0.3">
      <c r="A131" s="33" t="s">
        <v>28</v>
      </c>
      <c r="B131" s="23" t="str">
        <f>IF(RIGHT(A131,2)="WS", LEFT(A131,LEN(A131)-2),A131)</f>
        <v>NO32008</v>
      </c>
      <c r="C131" s="23" t="str">
        <f>INDEX(Active!J:J, MATCH(Spearmans2!B131, Active!F:F,0),1)</f>
        <v>Mean Annual Precipitation-Weighted NO3 Mean</v>
      </c>
      <c r="D131" s="23" t="str">
        <f>INDEX(Active!B:B, MATCH(Spearmans2!B131, Active!F:F,0),1)</f>
        <v>Natural</v>
      </c>
      <c r="E131" s="23" t="str">
        <f>INDEX(Active!D:D, MATCH(Spearmans2!B131, Active!F:F,0),1)</f>
        <v>Climate</v>
      </c>
      <c r="F131" s="23" t="str">
        <f>INDEX(Active!K:K, MATCH(Spearmans2!B131, Active!F:F,0),1)</f>
        <v>Annual gradient map of precipitation-weighted mean deposition for nitrate ion concentration wet deposition for 2008 in kg of NO3/ha/yr, within AOI</v>
      </c>
      <c r="G131" s="33" t="s">
        <v>332</v>
      </c>
      <c r="H131" s="23" t="s">
        <v>103</v>
      </c>
      <c r="I131" s="23" t="s">
        <v>133</v>
      </c>
      <c r="J131" s="23" t="s">
        <v>333</v>
      </c>
      <c r="K131" s="56" t="s">
        <v>31</v>
      </c>
      <c r="L131" s="24" t="str">
        <f>IF(RIGHT(K131,2)="WS", LEFT(K131,LEN(K131)-2),K131)</f>
        <v>NH42008</v>
      </c>
      <c r="M131" s="24" t="str">
        <f>INDEX(Active!J:J, MATCH(Spearmans2!L131, Active!F:F,0),1)</f>
        <v>Mean annual Precipitation-Weighted NH4 Mean</v>
      </c>
      <c r="N131" s="24" t="str">
        <f>INDEX(Active!B:B, MATCH(Spearmans2!L131, Active!F:F,0),1)</f>
        <v>Natural</v>
      </c>
      <c r="O131" s="24" t="str">
        <f>INDEX(Active!K:K, MATCH(Spearmans2!L131, Active!F:F,0),1)</f>
        <v>Annual gradient map of precipitation-weighted mean deposition for ammonium ion concentration wet deposition for 2008 in kg of NH4/ha/yr, within AOI</v>
      </c>
      <c r="P131" s="34" t="s">
        <v>328</v>
      </c>
      <c r="Q131" s="24" t="s">
        <v>103</v>
      </c>
      <c r="R131" s="24" t="s">
        <v>329</v>
      </c>
      <c r="S131" s="28">
        <v>0.96267018014242633</v>
      </c>
    </row>
    <row r="132" spans="1:19" s="20" customFormat="1" x14ac:dyDescent="0.3">
      <c r="A132" s="33" t="s">
        <v>28</v>
      </c>
      <c r="B132" s="23" t="str">
        <f>IF(RIGHT(A132,2)="WS", LEFT(A132,LEN(A132)-2),A132)</f>
        <v>NO32008</v>
      </c>
      <c r="C132" s="23" t="str">
        <f>INDEX(Active!J:J, MATCH(Spearmans2!B132, Active!F:F,0),1)</f>
        <v>Mean Annual Precipitation-Weighted NO3 Mean</v>
      </c>
      <c r="D132" s="23" t="str">
        <f>INDEX(Active!B:B, MATCH(Spearmans2!B132, Active!F:F,0),1)</f>
        <v>Natural</v>
      </c>
      <c r="E132" s="23" t="str">
        <f>INDEX(Active!D:D, MATCH(Spearmans2!B132, Active!F:F,0),1)</f>
        <v>Climate</v>
      </c>
      <c r="F132" s="23" t="str">
        <f>INDEX(Active!K:K, MATCH(Spearmans2!B132, Active!F:F,0),1)</f>
        <v>Annual gradient map of precipitation-weighted mean deposition for nitrate ion concentration wet deposition for 2008 in kg of NO3/ha/yr, within AOI</v>
      </c>
      <c r="G132" s="33" t="s">
        <v>332</v>
      </c>
      <c r="H132" s="23" t="s">
        <v>103</v>
      </c>
      <c r="I132" s="23" t="s">
        <v>133</v>
      </c>
      <c r="J132" s="23" t="s">
        <v>333</v>
      </c>
      <c r="K132" s="56" t="s">
        <v>32</v>
      </c>
      <c r="L132" s="24" t="str">
        <f>IF(RIGHT(K132,2)="WS", LEFT(K132,LEN(K132)-2),K132)</f>
        <v>SN2008</v>
      </c>
      <c r="M132" s="24" t="str">
        <f>INDEX(Active!J:J, MATCH(Spearmans2!L132, Active!F:F,0),1)</f>
        <v>Annual Mean Sulfur and Nitrogen Wet Deposition</v>
      </c>
      <c r="N132" s="24" t="str">
        <f>INDEX(Active!B:B, MATCH(Spearmans2!L132, Active!F:F,0),1)</f>
        <v>Natural</v>
      </c>
      <c r="O132" s="24" t="str">
        <f>INDEX(Active!K:K, MATCH(Spearmans2!L132, Active!F:F,0),1)</f>
        <v>Annual gradient map of precipitation-weighted mean deposition for average sulfur &amp; nitrogen wet deposition for 2008 in kg of S+N/ha/yr, within AOI</v>
      </c>
      <c r="P132" s="34" t="s">
        <v>663</v>
      </c>
      <c r="Q132" s="24" t="s">
        <v>103</v>
      </c>
      <c r="R132" s="24" t="s">
        <v>664</v>
      </c>
      <c r="S132" s="28">
        <v>0.97974299167585588</v>
      </c>
    </row>
    <row r="133" spans="1:19" s="21" customFormat="1" x14ac:dyDescent="0.3">
      <c r="A133" s="38" t="s">
        <v>28</v>
      </c>
      <c r="B133" s="29" t="str">
        <f>IF(RIGHT(A133,2)="WS", LEFT(A133,LEN(A133)-2),A133)</f>
        <v>NO32008</v>
      </c>
      <c r="C133" s="29" t="str">
        <f>INDEX(Active!J:J, MATCH(Spearmans2!B133, Active!F:F,0),1)</f>
        <v>Mean Annual Precipitation-Weighted NO3 Mean</v>
      </c>
      <c r="D133" s="29" t="str">
        <f>INDEX(Active!B:B, MATCH(Spearmans2!B133, Active!F:F,0),1)</f>
        <v>Natural</v>
      </c>
      <c r="E133" s="29" t="str">
        <f>INDEX(Active!D:D, MATCH(Spearmans2!B133, Active!F:F,0),1)</f>
        <v>Climate</v>
      </c>
      <c r="F133" s="29" t="str">
        <f>INDEX(Active!K:K, MATCH(Spearmans2!B133, Active!F:F,0),1)</f>
        <v>Annual gradient map of precipitation-weighted mean deposition for nitrate ion concentration wet deposition for 2008 in kg of NO3/ha/yr, within AOI</v>
      </c>
      <c r="G133" s="38" t="s">
        <v>332</v>
      </c>
      <c r="H133" s="29" t="s">
        <v>103</v>
      </c>
      <c r="I133" s="29" t="s">
        <v>133</v>
      </c>
      <c r="J133" s="29" t="s">
        <v>333</v>
      </c>
      <c r="K133" s="57" t="s">
        <v>30</v>
      </c>
      <c r="L133" s="30" t="str">
        <f>IF(RIGHT(K133,2)="WS", LEFT(K133,LEN(K133)-2),K133)</f>
        <v>INORGNWETDEP2008</v>
      </c>
      <c r="M133" s="30" t="str">
        <f>INDEX(Active!J:J, MATCH(Spearmans2!L133, Active!F:F,0),1)</f>
        <v>Mean Annual Precipitation-Weighted Nitrogen</v>
      </c>
      <c r="N133" s="30" t="str">
        <f>INDEX(Active!B:B, MATCH(Spearmans2!L133, Active!F:F,0),1)</f>
        <v>Natural</v>
      </c>
      <c r="O133" s="30" t="str">
        <f>INDEX(Active!K:K, MATCH(Spearmans2!L133, Active!F:F,0),1)</f>
        <v>Annual gradient map of precipitation-weighted mean deposition for inorganic nitrogen wet deposition from nitrate and ammonium for 2008 in kg of N/ha/yr, within AOI</v>
      </c>
      <c r="P133" s="53" t="s">
        <v>257</v>
      </c>
      <c r="Q133" s="30" t="s">
        <v>103</v>
      </c>
      <c r="R133" s="30" t="s">
        <v>258</v>
      </c>
      <c r="S133" s="31">
        <v>0.98597147193514034</v>
      </c>
    </row>
    <row r="134" spans="1:19" s="19" customFormat="1" x14ac:dyDescent="0.3">
      <c r="A134" s="37" t="s">
        <v>3</v>
      </c>
      <c r="B134" s="25" t="str">
        <f>IF(RIGHT(A134,2)="WS", LEFT(A134,LEN(A134)-2),A134)</f>
        <v>NSURP</v>
      </c>
      <c r="C134" s="25" t="str">
        <f>INDEX(Active!J:J, MATCH(Spearmans2!B134, Active!F:F,0),1)</f>
        <v>Nitrogen Surplus</v>
      </c>
      <c r="D134" s="25" t="str">
        <f>INDEX(Active!B:B, MATCH(Spearmans2!B134, Active!F:F,0),1)</f>
        <v>Anthropogenic</v>
      </c>
      <c r="E134" s="25" t="str">
        <f>INDEX(Active!D:D, MATCH(Spearmans2!B134, Active!F:F,0),1)</f>
        <v>Agriculture</v>
      </c>
      <c r="F134" s="25" t="str">
        <f>INDEX(Active!K:K, MATCH(Spearmans2!B134, Active!F:F,0),1)</f>
        <v>Nitrogen Surplus (kg N / yr) per AOI - excluding biological N Fixation</v>
      </c>
      <c r="G134" s="37" t="s">
        <v>341</v>
      </c>
      <c r="H134" s="25" t="s">
        <v>92</v>
      </c>
      <c r="I134" s="25" t="s">
        <v>94</v>
      </c>
      <c r="J134" s="25" t="s">
        <v>342</v>
      </c>
      <c r="K134" s="55" t="s">
        <v>7</v>
      </c>
      <c r="L134" s="26" t="str">
        <f>IF(RIGHT(K134,2)="WS", LEFT(K134,LEN(K134)-2),K134)</f>
        <v>BANKFULLDEPTH</v>
      </c>
      <c r="M134" s="26" t="str">
        <f>INDEX(Active!J:J, MATCH(Spearmans2!L134, Active!F:F,0),1)</f>
        <v>Predicted Bankfull Depth</v>
      </c>
      <c r="N134" s="26" t="str">
        <f>INDEX(Active!B:B, MATCH(Spearmans2!L134, Active!F:F,0),1)</f>
        <v>Natural</v>
      </c>
      <c r="O134" s="26" t="str">
        <f>INDEX(Active!K:K, MATCH(Spearmans2!L134, Active!F:F,0),1)</f>
        <v>Predicted bankfull depth: thalweg depth plus bankfull height, which is the height from the water surface to the bankfull stage</v>
      </c>
      <c r="P134" s="52" t="s">
        <v>125</v>
      </c>
      <c r="Q134" s="26" t="s">
        <v>103</v>
      </c>
      <c r="R134" s="26" t="s">
        <v>126</v>
      </c>
      <c r="S134" s="27">
        <v>0.82065462395691002</v>
      </c>
    </row>
    <row r="135" spans="1:19" s="20" customFormat="1" x14ac:dyDescent="0.3">
      <c r="A135" s="33" t="s">
        <v>3</v>
      </c>
      <c r="B135" s="23" t="str">
        <f>IF(RIGHT(A135,2)="WS", LEFT(A135,LEN(A135)-2),A135)</f>
        <v>NSURP</v>
      </c>
      <c r="C135" s="23" t="str">
        <f>INDEX(Active!J:J, MATCH(Spearmans2!B135, Active!F:F,0),1)</f>
        <v>Nitrogen Surplus</v>
      </c>
      <c r="D135" s="23" t="str">
        <f>INDEX(Active!B:B, MATCH(Spearmans2!B135, Active!F:F,0),1)</f>
        <v>Anthropogenic</v>
      </c>
      <c r="E135" s="23" t="str">
        <f>INDEX(Active!D:D, MATCH(Spearmans2!B135, Active!F:F,0),1)</f>
        <v>Agriculture</v>
      </c>
      <c r="F135" s="23" t="str">
        <f>INDEX(Active!K:K, MATCH(Spearmans2!B135, Active!F:F,0),1)</f>
        <v>Nitrogen Surplus (kg N / yr) per AOI - excluding biological N Fixation</v>
      </c>
      <c r="G135" s="33" t="s">
        <v>341</v>
      </c>
      <c r="H135" s="23" t="s">
        <v>92</v>
      </c>
      <c r="I135" s="23" t="s">
        <v>94</v>
      </c>
      <c r="J135" s="23" t="s">
        <v>342</v>
      </c>
      <c r="K135" s="56" t="s">
        <v>6</v>
      </c>
      <c r="L135" s="24" t="str">
        <f>IF(RIGHT(K135,2)="WS", LEFT(K135,LEN(K135)-2),K135)</f>
        <v>BANKFULLWIDTH</v>
      </c>
      <c r="M135" s="24" t="str">
        <f>INDEX(Active!J:J, MATCH(Spearmans2!L135, Active!F:F,0),1)</f>
        <v>Predicted Bankfull Width</v>
      </c>
      <c r="N135" s="24" t="str">
        <f>INDEX(Active!B:B, MATCH(Spearmans2!L135, Active!F:F,0),1)</f>
        <v>Natural</v>
      </c>
      <c r="O135" s="24" t="str">
        <f>INDEX(Active!K:K, MATCH(Spearmans2!L135, Active!F:F,0),1)</f>
        <v>Predicted bankfull width: distance from left to right bank at bankfull stage where the potential water height would spill outside of the channel and into the floodplain</v>
      </c>
      <c r="P135" s="34" t="s">
        <v>131</v>
      </c>
      <c r="Q135" s="24" t="s">
        <v>103</v>
      </c>
      <c r="R135" s="24" t="s">
        <v>132</v>
      </c>
      <c r="S135" s="28">
        <v>0.84577613053092593</v>
      </c>
    </row>
    <row r="136" spans="1:19" s="20" customFormat="1" x14ac:dyDescent="0.3">
      <c r="A136" s="33" t="s">
        <v>3</v>
      </c>
      <c r="B136" s="23" t="str">
        <f>IF(RIGHT(A136,2)="WS", LEFT(A136,LEN(A136)-2),A136)</f>
        <v>NSURP</v>
      </c>
      <c r="C136" s="23" t="str">
        <f>INDEX(Active!J:J, MATCH(Spearmans2!B136, Active!F:F,0),1)</f>
        <v>Nitrogen Surplus</v>
      </c>
      <c r="D136" s="23" t="str">
        <f>INDEX(Active!B:B, MATCH(Spearmans2!B136, Active!F:F,0),1)</f>
        <v>Anthropogenic</v>
      </c>
      <c r="E136" s="23" t="str">
        <f>INDEX(Active!D:D, MATCH(Spearmans2!B136, Active!F:F,0),1)</f>
        <v>Agriculture</v>
      </c>
      <c r="F136" s="23" t="str">
        <f>INDEX(Active!K:K, MATCH(Spearmans2!B136, Active!F:F,0),1)</f>
        <v>Nitrogen Surplus (kg N / yr) per AOI - excluding biological N Fixation</v>
      </c>
      <c r="G136" s="33" t="s">
        <v>341</v>
      </c>
      <c r="H136" s="23" t="s">
        <v>92</v>
      </c>
      <c r="I136" s="23" t="s">
        <v>94</v>
      </c>
      <c r="J136" s="23" t="s">
        <v>342</v>
      </c>
      <c r="K136" s="56" t="s">
        <v>5</v>
      </c>
      <c r="L136" s="24" t="str">
        <f>IF(RIGHT(K136,2)="WS", LEFT(K136,LEN(K136)-2),K136)</f>
        <v>WETTEDWIDTH</v>
      </c>
      <c r="M136" s="24" t="str">
        <f>INDEX(Active!J:J, MATCH(Spearmans2!L136, Active!F:F,0),1)</f>
        <v>Predicted Wetted Width</v>
      </c>
      <c r="N136" s="24" t="str">
        <f>INDEX(Active!B:B, MATCH(Spearmans2!L136, Active!F:F,0),1)</f>
        <v>Natural</v>
      </c>
      <c r="O136" s="24" t="str">
        <f>INDEX(Active!K:K, MATCH(Spearmans2!L136, Active!F:F,0),1)</f>
        <v>Predicted wetted width: distance of the waters edge from left to right bank</v>
      </c>
      <c r="P136" s="34" t="s">
        <v>726</v>
      </c>
      <c r="Q136" s="24" t="s">
        <v>103</v>
      </c>
      <c r="R136" s="24" t="s">
        <v>727</v>
      </c>
      <c r="S136" s="28">
        <v>0.85227939953093124</v>
      </c>
    </row>
    <row r="137" spans="1:19" s="20" customFormat="1" x14ac:dyDescent="0.3">
      <c r="A137" s="33" t="s">
        <v>3</v>
      </c>
      <c r="B137" s="23" t="str">
        <f>IF(RIGHT(A137,2)="WS", LEFT(A137,LEN(A137)-2),A137)</f>
        <v>NSURP</v>
      </c>
      <c r="C137" s="23" t="str">
        <f>INDEX(Active!J:J, MATCH(Spearmans2!B137, Active!F:F,0),1)</f>
        <v>Nitrogen Surplus</v>
      </c>
      <c r="D137" s="23" t="str">
        <f>INDEX(Active!B:B, MATCH(Spearmans2!B137, Active!F:F,0),1)</f>
        <v>Anthropogenic</v>
      </c>
      <c r="E137" s="23" t="str">
        <f>INDEX(Active!D:D, MATCH(Spearmans2!B137, Active!F:F,0),1)</f>
        <v>Agriculture</v>
      </c>
      <c r="F137" s="23" t="str">
        <f>INDEX(Active!K:K, MATCH(Spearmans2!B137, Active!F:F,0),1)</f>
        <v>Nitrogen Surplus (kg N / yr) per AOI - excluding biological N Fixation</v>
      </c>
      <c r="G137" s="33" t="s">
        <v>341</v>
      </c>
      <c r="H137" s="23" t="s">
        <v>92</v>
      </c>
      <c r="I137" s="23" t="s">
        <v>94</v>
      </c>
      <c r="J137" s="23" t="s">
        <v>342</v>
      </c>
      <c r="K137" s="56" t="s">
        <v>763</v>
      </c>
      <c r="L137" s="24" t="str">
        <f>IF(RIGHT(K137,2)="WS", LEFT(K137,LEN(K137)-2),K137)</f>
        <v>THALWEGDEPTH</v>
      </c>
      <c r="M137" s="24" t="e">
        <f>INDEX(Active!J:J, MATCH(Spearmans2!L137, Active!F:F,0),1)</f>
        <v>#N/A</v>
      </c>
      <c r="N137" s="24" t="e">
        <f>INDEX(Active!B:B, MATCH(Spearmans2!L137, Active!F:F,0),1)</f>
        <v>#N/A</v>
      </c>
      <c r="O137" s="24" t="e">
        <f>INDEX(Active!K:K, MATCH(Spearmans2!L137, Active!F:F,0),1)</f>
        <v>#N/A</v>
      </c>
      <c r="P137" s="34" t="e">
        <v>#N/A</v>
      </c>
      <c r="Q137" s="24" t="e">
        <v>#N/A</v>
      </c>
      <c r="R137" s="24" t="e">
        <v>#N/A</v>
      </c>
      <c r="S137" s="28">
        <v>0.88821855465007304</v>
      </c>
    </row>
    <row r="138" spans="1:19" s="21" customFormat="1" x14ac:dyDescent="0.3">
      <c r="A138" s="38" t="s">
        <v>3</v>
      </c>
      <c r="B138" s="29" t="str">
        <f>IF(RIGHT(A138,2)="WS", LEFT(A138,LEN(A138)-2),A138)</f>
        <v>NSURP</v>
      </c>
      <c r="C138" s="29" t="str">
        <f>INDEX(Active!J:J, MATCH(Spearmans2!B138, Active!F:F,0),1)</f>
        <v>Nitrogen Surplus</v>
      </c>
      <c r="D138" s="29" t="str">
        <f>INDEX(Active!B:B, MATCH(Spearmans2!B138, Active!F:F,0),1)</f>
        <v>Anthropogenic</v>
      </c>
      <c r="E138" s="29" t="str">
        <f>INDEX(Active!D:D, MATCH(Spearmans2!B138, Active!F:F,0),1)</f>
        <v>Agriculture</v>
      </c>
      <c r="F138" s="29" t="str">
        <f>INDEX(Active!K:K, MATCH(Spearmans2!B138, Active!F:F,0),1)</f>
        <v>Nitrogen Surplus (kg N / yr) per AOI - excluding biological N Fixation</v>
      </c>
      <c r="G138" s="38" t="s">
        <v>341</v>
      </c>
      <c r="H138" s="29" t="s">
        <v>92</v>
      </c>
      <c r="I138" s="29" t="s">
        <v>94</v>
      </c>
      <c r="J138" s="29" t="s">
        <v>342</v>
      </c>
      <c r="K138" s="57" t="s">
        <v>4</v>
      </c>
      <c r="L138" s="30" t="str">
        <f>IF(RIGHT(K138,2)="WS", LEFT(K138,LEN(K138)-2),K138)</f>
        <v>NANI</v>
      </c>
      <c r="M138" s="30" t="str">
        <f>INDEX(Active!J:J, MATCH(Spearmans2!L138, Active!F:F,0),1)</f>
        <v>Anthropogenic Nitrogen</v>
      </c>
      <c r="N138" s="30" t="str">
        <f>INDEX(Active!B:B, MATCH(Spearmans2!L138, Active!F:F,0),1)</f>
        <v>Anthropogenic</v>
      </c>
      <c r="O138" s="30" t="str">
        <f>INDEX(Active!K:K, MATCH(Spearmans2!L138, Active!F:F,0),1)</f>
        <v>Net Anthropogenic Nitrogen within AOI: farm fertilizer + urban fertilizer + NOx deposition + CBNF + Human and Livestock food - crop N content - livestock N content</v>
      </c>
      <c r="P138" s="53" t="s">
        <v>322</v>
      </c>
      <c r="Q138" s="30" t="s">
        <v>92</v>
      </c>
      <c r="R138" s="30" t="s">
        <v>323</v>
      </c>
      <c r="S138" s="31">
        <v>0.99655682571898763</v>
      </c>
    </row>
    <row r="139" spans="1:19" s="19" customFormat="1" x14ac:dyDescent="0.3">
      <c r="A139" s="37" t="s">
        <v>52</v>
      </c>
      <c r="B139" s="25" t="str">
        <f>IF(RIGHT(A139,2)="WS", LEFT(A139,LEN(A139)-2),A139)</f>
        <v>P2O5</v>
      </c>
      <c r="C139" s="25" t="str">
        <f>INDEX(Active!J:J, MATCH(Spearmans2!B139, Active!F:F,0),1)</f>
        <v>Mean Lithological Phosphorous Oxide</v>
      </c>
      <c r="D139" s="25" t="str">
        <f>INDEX(Active!B:B, MATCH(Spearmans2!B139, Active!F:F,0),1)</f>
        <v>Natural</v>
      </c>
      <c r="E139" s="25" t="str">
        <f>INDEX(Active!D:D, MATCH(Spearmans2!B139, Active!F:F,0),1)</f>
        <v>Lithology</v>
      </c>
      <c r="F139" s="25" t="str">
        <f>INDEX(Active!K:K, MATCH(Spearmans2!B139, Active!F:F,0),1)</f>
        <v>Mean % of lithological phosphorous oxide (P2O5) content in surface or near surface geology within AOI</v>
      </c>
      <c r="G139" s="37" t="s">
        <v>349</v>
      </c>
      <c r="H139" s="25" t="s">
        <v>103</v>
      </c>
      <c r="I139" s="25" t="s">
        <v>104</v>
      </c>
      <c r="J139" s="25" t="s">
        <v>350</v>
      </c>
      <c r="K139" s="55" t="s">
        <v>54</v>
      </c>
      <c r="L139" s="26" t="str">
        <f>IF(RIGHT(K139,2)="WS", LEFT(K139,LEN(K139)-2),K139)</f>
        <v>SIO2</v>
      </c>
      <c r="M139" s="26" t="str">
        <f>INDEX(Active!J:J, MATCH(Spearmans2!L139, Active!F:F,0),1)</f>
        <v>Mean Lithological Silicon Dioxide</v>
      </c>
      <c r="N139" s="26" t="str">
        <f>INDEX(Active!B:B, MATCH(Spearmans2!L139, Active!F:F,0),1)</f>
        <v>Natural</v>
      </c>
      <c r="O139" s="26" t="str">
        <f>INDEX(Active!K:K, MATCH(Spearmans2!L139, Active!F:F,0),1)</f>
        <v>Mean % of lithological silicon dioxide (SiO2) content in surface or near surface geology within AOI</v>
      </c>
      <c r="P139" s="52" t="s">
        <v>659</v>
      </c>
      <c r="Q139" s="26" t="s">
        <v>103</v>
      </c>
      <c r="R139" s="26" t="s">
        <v>660</v>
      </c>
      <c r="S139" s="27">
        <v>-0.85169405418568089</v>
      </c>
    </row>
    <row r="140" spans="1:19" s="20" customFormat="1" x14ac:dyDescent="0.3">
      <c r="A140" s="33" t="s">
        <v>52</v>
      </c>
      <c r="B140" s="23" t="str">
        <f>IF(RIGHT(A140,2)="WS", LEFT(A140,LEN(A140)-2),A140)</f>
        <v>P2O5</v>
      </c>
      <c r="C140" s="23" t="str">
        <f>INDEX(Active!J:J, MATCH(Spearmans2!B140, Active!F:F,0),1)</f>
        <v>Mean Lithological Phosphorous Oxide</v>
      </c>
      <c r="D140" s="23" t="str">
        <f>INDEX(Active!B:B, MATCH(Spearmans2!B140, Active!F:F,0),1)</f>
        <v>Natural</v>
      </c>
      <c r="E140" s="23" t="str">
        <f>INDEX(Active!D:D, MATCH(Spearmans2!B140, Active!F:F,0),1)</f>
        <v>Lithology</v>
      </c>
      <c r="F140" s="23" t="str">
        <f>INDEX(Active!K:K, MATCH(Spearmans2!B140, Active!F:F,0),1)</f>
        <v>Mean % of lithological phosphorous oxide (P2O5) content in surface or near surface geology within AOI</v>
      </c>
      <c r="G140" s="33" t="s">
        <v>349</v>
      </c>
      <c r="H140" s="23" t="s">
        <v>103</v>
      </c>
      <c r="I140" s="23" t="s">
        <v>104</v>
      </c>
      <c r="J140" s="23" t="s">
        <v>350</v>
      </c>
      <c r="K140" s="56" t="s">
        <v>58</v>
      </c>
      <c r="L140" s="24" t="str">
        <f>IF(RIGHT(K140,2)="WS", LEFT(K140,LEN(K140)-2),K140)</f>
        <v>MGO</v>
      </c>
      <c r="M140" s="24" t="str">
        <f>INDEX(Active!J:J, MATCH(Spearmans2!L140, Active!F:F,0),1)</f>
        <v>Mean Lithological Magnesium Oxide</v>
      </c>
      <c r="N140" s="24" t="str">
        <f>INDEX(Active!B:B, MATCH(Spearmans2!L140, Active!F:F,0),1)</f>
        <v>Natural</v>
      </c>
      <c r="O140" s="24" t="str">
        <f>INDEX(Active!K:K, MATCH(Spearmans2!L140, Active!F:F,0),1)</f>
        <v>Mean % of lithological magnesium oxide (MgO) content in surface or near surface geology within AOI</v>
      </c>
      <c r="P140" s="34" t="s">
        <v>288</v>
      </c>
      <c r="Q140" s="24" t="s">
        <v>103</v>
      </c>
      <c r="R140" s="24" t="s">
        <v>289</v>
      </c>
      <c r="S140" s="28">
        <v>0.80876958246404151</v>
      </c>
    </row>
    <row r="141" spans="1:19" s="20" customFormat="1" x14ac:dyDescent="0.3">
      <c r="A141" s="33" t="s">
        <v>52</v>
      </c>
      <c r="B141" s="23" t="str">
        <f>IF(RIGHT(A141,2)="WS", LEFT(A141,LEN(A141)-2),A141)</f>
        <v>P2O5</v>
      </c>
      <c r="C141" s="23" t="str">
        <f>INDEX(Active!J:J, MATCH(Spearmans2!B141, Active!F:F,0),1)</f>
        <v>Mean Lithological Phosphorous Oxide</v>
      </c>
      <c r="D141" s="23" t="str">
        <f>INDEX(Active!B:B, MATCH(Spearmans2!B141, Active!F:F,0),1)</f>
        <v>Natural</v>
      </c>
      <c r="E141" s="23" t="str">
        <f>INDEX(Active!D:D, MATCH(Spearmans2!B141, Active!F:F,0),1)</f>
        <v>Lithology</v>
      </c>
      <c r="F141" s="23" t="str">
        <f>INDEX(Active!K:K, MATCH(Spearmans2!B141, Active!F:F,0),1)</f>
        <v>Mean % of lithological phosphorous oxide (P2O5) content in surface or near surface geology within AOI</v>
      </c>
      <c r="G141" s="33" t="s">
        <v>349</v>
      </c>
      <c r="H141" s="23" t="s">
        <v>103</v>
      </c>
      <c r="I141" s="23" t="s">
        <v>104</v>
      </c>
      <c r="J141" s="23" t="s">
        <v>350</v>
      </c>
      <c r="K141" s="56" t="s">
        <v>53</v>
      </c>
      <c r="L141" s="24" t="str">
        <f>IF(RIGHT(K141,2)="WS", LEFT(K141,LEN(K141)-2),K141)</f>
        <v>AL2O3</v>
      </c>
      <c r="M141" s="24" t="str">
        <f>INDEX(Active!J:J, MATCH(Spearmans2!L141, Active!F:F,0),1)</f>
        <v>Mean Lithological Aluminum Oxide</v>
      </c>
      <c r="N141" s="24" t="str">
        <f>INDEX(Active!B:B, MATCH(Spearmans2!L141, Active!F:F,0),1)</f>
        <v>Natural</v>
      </c>
      <c r="O141" s="24" t="str">
        <f>INDEX(Active!K:K, MATCH(Spearmans2!L141, Active!F:F,0),1)</f>
        <v>Mean % of lithological aluminum oxide (Al2O3) content in surface or near surface geology within AOI</v>
      </c>
      <c r="P141" s="34" t="s">
        <v>107</v>
      </c>
      <c r="Q141" s="24" t="s">
        <v>103</v>
      </c>
      <c r="R141" s="24" t="s">
        <v>108</v>
      </c>
      <c r="S141" s="28">
        <v>0.87560553786022133</v>
      </c>
    </row>
    <row r="142" spans="1:19" s="21" customFormat="1" x14ac:dyDescent="0.3">
      <c r="A142" s="38" t="s">
        <v>52</v>
      </c>
      <c r="B142" s="29" t="str">
        <f>IF(RIGHT(A142,2)="WS", LEFT(A142,LEN(A142)-2),A142)</f>
        <v>P2O5</v>
      </c>
      <c r="C142" s="29" t="str">
        <f>INDEX(Active!J:J, MATCH(Spearmans2!B142, Active!F:F,0),1)</f>
        <v>Mean Lithological Phosphorous Oxide</v>
      </c>
      <c r="D142" s="29" t="str">
        <f>INDEX(Active!B:B, MATCH(Spearmans2!B142, Active!F:F,0),1)</f>
        <v>Natural</v>
      </c>
      <c r="E142" s="29" t="str">
        <f>INDEX(Active!D:D, MATCH(Spearmans2!B142, Active!F:F,0),1)</f>
        <v>Lithology</v>
      </c>
      <c r="F142" s="29" t="str">
        <f>INDEX(Active!K:K, MATCH(Spearmans2!B142, Active!F:F,0),1)</f>
        <v>Mean % of lithological phosphorous oxide (P2O5) content in surface or near surface geology within AOI</v>
      </c>
      <c r="G142" s="38" t="s">
        <v>349</v>
      </c>
      <c r="H142" s="29" t="s">
        <v>103</v>
      </c>
      <c r="I142" s="29" t="s">
        <v>104</v>
      </c>
      <c r="J142" s="29" t="s">
        <v>350</v>
      </c>
      <c r="K142" s="57" t="s">
        <v>57</v>
      </c>
      <c r="L142" s="30" t="str">
        <f>IF(RIGHT(K142,2)="WS", LEFT(K142,LEN(K142)-2),K142)</f>
        <v>CAO</v>
      </c>
      <c r="M142" s="30" t="str">
        <f>INDEX(Active!J:J, MATCH(Spearmans2!L142, Active!F:F,0),1)</f>
        <v>Mean Lithological Calcium Oxide</v>
      </c>
      <c r="N142" s="30" t="str">
        <f>INDEX(Active!B:B, MATCH(Spearmans2!L142, Active!F:F,0),1)</f>
        <v>Natural</v>
      </c>
      <c r="O142" s="30" t="str">
        <f>INDEX(Active!K:K, MATCH(Spearmans2!L142, Active!F:F,0),1)</f>
        <v>Mean % of lithological calcium oxide (CaO) content in surface or near surface geology within AOI</v>
      </c>
      <c r="P142" s="53" t="s">
        <v>148</v>
      </c>
      <c r="Q142" s="30" t="s">
        <v>103</v>
      </c>
      <c r="R142" s="30" t="s">
        <v>149</v>
      </c>
      <c r="S142" s="31">
        <v>0.93815151482092562</v>
      </c>
    </row>
    <row r="143" spans="1:19" s="19" customFormat="1" x14ac:dyDescent="0.3">
      <c r="A143" s="37" t="s">
        <v>759</v>
      </c>
      <c r="B143" s="25" t="str">
        <f>IF(RIGHT(A143,2)="WS", LEFT(A143,LEN(A143)-2),A143)</f>
        <v>PCT_EROD</v>
      </c>
      <c r="C143" s="25" t="e">
        <f>INDEX(Active!J:J, MATCH(Spearmans2!B143, Active!F:F,0),1)</f>
        <v>#N/A</v>
      </c>
      <c r="D143" s="25" t="e">
        <f>INDEX(Active!B:B, MATCH(Spearmans2!B143, Active!F:F,0),1)</f>
        <v>#N/A</v>
      </c>
      <c r="E143" s="25" t="e">
        <f>INDEX(Active!D:D, MATCH(Spearmans2!B143, Active!F:F,0),1)</f>
        <v>#N/A</v>
      </c>
      <c r="F143" s="25" t="e">
        <f>INDEX(Active!K:K, MATCH(Spearmans2!B143, Active!F:F,0),1)</f>
        <v>#N/A</v>
      </c>
      <c r="G143" s="37" t="e">
        <v>#N/A</v>
      </c>
      <c r="H143" s="25" t="e">
        <v>#N/A</v>
      </c>
      <c r="I143" s="25" t="e">
        <v>#N/A</v>
      </c>
      <c r="J143" s="25" t="e">
        <v>#N/A</v>
      </c>
      <c r="K143" s="55" t="s">
        <v>761</v>
      </c>
      <c r="L143" s="26" t="str">
        <f>IF(RIGHT(K143,2)="WS", LEFT(K143,LEN(K143)-2),K143)</f>
        <v>PCTSILICIC</v>
      </c>
      <c r="M143" s="26" t="str">
        <f>INDEX(Active!J:J, MATCH(Spearmans2!L143, Active!F:F,0),1)</f>
        <v>Silicic Residual Material</v>
      </c>
      <c r="N143" s="26" t="str">
        <f>INDEX(Active!B:B, MATCH(Spearmans2!L143, Active!F:F,0),1)</f>
        <v>Natural</v>
      </c>
      <c r="O143" s="26" t="str">
        <f>INDEX(Active!K:K, MATCH(Spearmans2!L143, Active!F:F,0),1)</f>
        <v>% of AOI area classified as lithology type: silicic residual material</v>
      </c>
      <c r="P143" s="52" t="s">
        <v>532</v>
      </c>
      <c r="Q143" s="26" t="s">
        <v>103</v>
      </c>
      <c r="R143" s="26" t="s">
        <v>533</v>
      </c>
      <c r="S143" s="27">
        <v>-0.83093272749293345</v>
      </c>
    </row>
    <row r="144" spans="1:19" s="21" customFormat="1" x14ac:dyDescent="0.3">
      <c r="A144" s="38" t="s">
        <v>759</v>
      </c>
      <c r="B144" s="29" t="str">
        <f>IF(RIGHT(A144,2)="WS", LEFT(A144,LEN(A144)-2),A144)</f>
        <v>PCT_EROD</v>
      </c>
      <c r="C144" s="29" t="e">
        <f>INDEX(Active!J:J, MATCH(Spearmans2!B144, Active!F:F,0),1)</f>
        <v>#N/A</v>
      </c>
      <c r="D144" s="29" t="e">
        <f>INDEX(Active!B:B, MATCH(Spearmans2!B144, Active!F:F,0),1)</f>
        <v>#N/A</v>
      </c>
      <c r="E144" s="29" t="e">
        <f>INDEX(Active!D:D, MATCH(Spearmans2!B144, Active!F:F,0),1)</f>
        <v>#N/A</v>
      </c>
      <c r="F144" s="29" t="e">
        <f>INDEX(Active!K:K, MATCH(Spearmans2!B144, Active!F:F,0),1)</f>
        <v>#N/A</v>
      </c>
      <c r="G144" s="38" t="e">
        <v>#N/A</v>
      </c>
      <c r="H144" s="29" t="e">
        <v>#N/A</v>
      </c>
      <c r="I144" s="29" t="e">
        <v>#N/A</v>
      </c>
      <c r="J144" s="29" t="e">
        <v>#N/A</v>
      </c>
      <c r="K144" s="57" t="s">
        <v>760</v>
      </c>
      <c r="L144" s="30" t="str">
        <f>IF(RIGHT(K144,2)="WS", LEFT(K144,LEN(K144)-2),K144)</f>
        <v>PCTNONCARBRESID</v>
      </c>
      <c r="M144" s="30" t="str">
        <f>INDEX(Active!J:J, MATCH(Spearmans2!L144, Active!F:F,0),1)</f>
        <v>Non-Carbonate Residual Material</v>
      </c>
      <c r="N144" s="30" t="str">
        <f>INDEX(Active!B:B, MATCH(Spearmans2!L144, Active!F:F,0),1)</f>
        <v>Natural</v>
      </c>
      <c r="O144" s="30" t="str">
        <f>INDEX(Active!K:K, MATCH(Spearmans2!L144, Active!F:F,0),1)</f>
        <v>% of AOI area classified as lithology type: non-carbonate residual material</v>
      </c>
      <c r="P144" s="53" t="s">
        <v>513</v>
      </c>
      <c r="Q144" s="30" t="s">
        <v>103</v>
      </c>
      <c r="R144" s="30" t="s">
        <v>514</v>
      </c>
      <c r="S144" s="31">
        <v>0.85567483700888225</v>
      </c>
    </row>
    <row r="145" spans="1:19" s="19" customFormat="1" x14ac:dyDescent="0.3">
      <c r="A145" s="37" t="s">
        <v>15</v>
      </c>
      <c r="B145" s="25" t="str">
        <f>IF(RIGHT(A145,2)="WS", LEFT(A145,LEN(A145)-2),A145)</f>
        <v>PCTAGSLPHIGH2001</v>
      </c>
      <c r="C145" s="25" t="str">
        <f>INDEX(Active!J:J, MATCH(Spearmans2!B145, Active!F:F,0),1)</f>
        <v>Percent of Agriculture of 20% Slope</v>
      </c>
      <c r="D145" s="25" t="str">
        <f>INDEX(Active!B:B, MATCH(Spearmans2!B145, Active!F:F,0),1)</f>
        <v>Anthropogenic</v>
      </c>
      <c r="E145" s="25" t="str">
        <f>INDEX(Active!D:D, MATCH(Spearmans2!B145, Active!F:F,0),1)</f>
        <v>Agriculture</v>
      </c>
      <c r="F145" s="25" t="str">
        <f>INDEX(Active!K:K, MATCH(Spearmans2!B145, Active!F:F,0),1)</f>
        <v>% of AOI area classified as ag land cover (NLCD classes 81-82) occurring on slopes &gt; 20%</v>
      </c>
      <c r="G145" s="37" t="s">
        <v>359</v>
      </c>
      <c r="H145" s="25" t="s">
        <v>92</v>
      </c>
      <c r="I145" s="25" t="s">
        <v>94</v>
      </c>
      <c r="J145" s="25" t="s">
        <v>360</v>
      </c>
      <c r="K145" s="55" t="s">
        <v>16</v>
      </c>
      <c r="L145" s="26" t="str">
        <f>IF(RIGHT(K145,2)="WS", LEFT(K145,LEN(K145)-2),K145)</f>
        <v>PCTHAY2001</v>
      </c>
      <c r="M145" s="26" t="str">
        <f>INDEX(Active!J:J, MATCH(Spearmans2!L145, Active!F:F,0),1)</f>
        <v>Pasture/Hay Percentage</v>
      </c>
      <c r="N145" s="26" t="str">
        <f>INDEX(Active!B:B, MATCH(Spearmans2!L145, Active!F:F,0),1)</f>
        <v>Anthropogenic</v>
      </c>
      <c r="O145" s="26" t="str">
        <f>INDEX(Active!K:K, MATCH(Spearmans2!L145, Active!F:F,0),1)</f>
        <v>% of AOI area classified as hay land use (NLCD class 81)</v>
      </c>
      <c r="P145" s="52" t="s">
        <v>461</v>
      </c>
      <c r="Q145" s="26" t="s">
        <v>92</v>
      </c>
      <c r="R145" s="26" t="s">
        <v>462</v>
      </c>
      <c r="S145" s="27">
        <v>0.80004199165268453</v>
      </c>
    </row>
    <row r="146" spans="1:19" s="20" customFormat="1" x14ac:dyDescent="0.3">
      <c r="A146" s="33" t="s">
        <v>15</v>
      </c>
      <c r="B146" s="23" t="str">
        <f>IF(RIGHT(A146,2)="WS", LEFT(A146,LEN(A146)-2),A146)</f>
        <v>PCTAGSLPHIGH2001</v>
      </c>
      <c r="C146" s="23" t="str">
        <f>INDEX(Active!J:J, MATCH(Spearmans2!B146, Active!F:F,0),1)</f>
        <v>Percent of Agriculture of 20% Slope</v>
      </c>
      <c r="D146" s="23" t="str">
        <f>INDEX(Active!B:B, MATCH(Spearmans2!B146, Active!F:F,0),1)</f>
        <v>Anthropogenic</v>
      </c>
      <c r="E146" s="23" t="str">
        <f>INDEX(Active!D:D, MATCH(Spearmans2!B146, Active!F:F,0),1)</f>
        <v>Agriculture</v>
      </c>
      <c r="F146" s="23" t="str">
        <f>INDEX(Active!K:K, MATCH(Spearmans2!B146, Active!F:F,0),1)</f>
        <v>% of AOI area classified as ag land cover (NLCD classes 81-82) occurring on slopes &gt; 20%</v>
      </c>
      <c r="G146" s="33" t="s">
        <v>359</v>
      </c>
      <c r="H146" s="23" t="s">
        <v>92</v>
      </c>
      <c r="I146" s="23" t="s">
        <v>94</v>
      </c>
      <c r="J146" s="23" t="s">
        <v>360</v>
      </c>
      <c r="K146" s="56" t="s">
        <v>14</v>
      </c>
      <c r="L146" s="24" t="str">
        <f>IF(RIGHT(K146,2)="WS", LEFT(K146,LEN(K146)-2),K146)</f>
        <v>PCTAGSLPMID2001</v>
      </c>
      <c r="M146" s="24" t="str">
        <f>INDEX(Active!J:J, MATCH(Spearmans2!L146, Active!F:F,0),1)</f>
        <v>Percent of Agriculture of 10% Slope</v>
      </c>
      <c r="N146" s="24" t="str">
        <f>INDEX(Active!B:B, MATCH(Spearmans2!L146, Active!F:F,0),1)</f>
        <v>Anthropogenic</v>
      </c>
      <c r="O146" s="24" t="str">
        <f>INDEX(Active!K:K, MATCH(Spearmans2!L146, Active!F:F,0),1)</f>
        <v>% of AOI area classified as ag land cover (NLCD classes 81-82) occurring on slopes &gt; 10%</v>
      </c>
      <c r="P146" s="34" t="s">
        <v>365</v>
      </c>
      <c r="Q146" s="24" t="s">
        <v>92</v>
      </c>
      <c r="R146" s="24" t="s">
        <v>366</v>
      </c>
      <c r="S146" s="28">
        <v>0.91387837758319224</v>
      </c>
    </row>
    <row r="147" spans="1:19" s="20" customFormat="1" x14ac:dyDescent="0.3">
      <c r="A147" s="33" t="s">
        <v>14</v>
      </c>
      <c r="B147" s="23" t="str">
        <f>IF(RIGHT(A147,2)="WS", LEFT(A147,LEN(A147)-2),A147)</f>
        <v>PCTAGSLPMID2001</v>
      </c>
      <c r="C147" s="23" t="str">
        <f>INDEX(Active!J:J, MATCH(Spearmans2!B147, Active!F:F,0),1)</f>
        <v>Percent of Agriculture of 10% Slope</v>
      </c>
      <c r="D147" s="23" t="str">
        <f>INDEX(Active!B:B, MATCH(Spearmans2!B147, Active!F:F,0),1)</f>
        <v>Anthropogenic</v>
      </c>
      <c r="E147" s="23" t="str">
        <f>INDEX(Active!D:D, MATCH(Spearmans2!B147, Active!F:F,0),1)</f>
        <v>Agriculture</v>
      </c>
      <c r="F147" s="23" t="str">
        <f>INDEX(Active!K:K, MATCH(Spearmans2!B147, Active!F:F,0),1)</f>
        <v>% of AOI area classified as ag land cover (NLCD classes 81-82) occurring on slopes &gt; 10%</v>
      </c>
      <c r="G147" s="33" t="s">
        <v>365</v>
      </c>
      <c r="H147" s="23" t="s">
        <v>92</v>
      </c>
      <c r="I147" s="23" t="s">
        <v>94</v>
      </c>
      <c r="J147" s="23" t="s">
        <v>366</v>
      </c>
      <c r="K147" s="56" t="s">
        <v>16</v>
      </c>
      <c r="L147" s="24" t="str">
        <f>IF(RIGHT(K147,2)="WS", LEFT(K147,LEN(K147)-2),K147)</f>
        <v>PCTHAY2001</v>
      </c>
      <c r="M147" s="24" t="str">
        <f>INDEX(Active!J:J, MATCH(Spearmans2!L147, Active!F:F,0),1)</f>
        <v>Pasture/Hay Percentage</v>
      </c>
      <c r="N147" s="24" t="str">
        <f>INDEX(Active!B:B, MATCH(Spearmans2!L147, Active!F:F,0),1)</f>
        <v>Anthropogenic</v>
      </c>
      <c r="O147" s="24" t="str">
        <f>INDEX(Active!K:K, MATCH(Spearmans2!L147, Active!F:F,0),1)</f>
        <v>% of AOI area classified as hay land use (NLCD class 81)</v>
      </c>
      <c r="P147" s="34" t="s">
        <v>461</v>
      </c>
      <c r="Q147" s="24" t="s">
        <v>92</v>
      </c>
      <c r="R147" s="24" t="s">
        <v>462</v>
      </c>
      <c r="S147" s="28">
        <v>0.8927734106206846</v>
      </c>
    </row>
    <row r="148" spans="1:19" s="21" customFormat="1" x14ac:dyDescent="0.3">
      <c r="A148" s="38" t="s">
        <v>14</v>
      </c>
      <c r="B148" s="29" t="str">
        <f>IF(RIGHT(A148,2)="WS", LEFT(A148,LEN(A148)-2),A148)</f>
        <v>PCTAGSLPMID2001</v>
      </c>
      <c r="C148" s="29" t="str">
        <f>INDEX(Active!J:J, MATCH(Spearmans2!B148, Active!F:F,0),1)</f>
        <v>Percent of Agriculture of 10% Slope</v>
      </c>
      <c r="D148" s="29" t="str">
        <f>INDEX(Active!B:B, MATCH(Spearmans2!B148, Active!F:F,0),1)</f>
        <v>Anthropogenic</v>
      </c>
      <c r="E148" s="29" t="str">
        <f>INDEX(Active!D:D, MATCH(Spearmans2!B148, Active!F:F,0),1)</f>
        <v>Agriculture</v>
      </c>
      <c r="F148" s="29" t="str">
        <f>INDEX(Active!K:K, MATCH(Spearmans2!B148, Active!F:F,0),1)</f>
        <v>% of AOI area classified as ag land cover (NLCD classes 81-82) occurring on slopes &gt; 10%</v>
      </c>
      <c r="G148" s="38" t="s">
        <v>365</v>
      </c>
      <c r="H148" s="29" t="s">
        <v>92</v>
      </c>
      <c r="I148" s="29" t="s">
        <v>94</v>
      </c>
      <c r="J148" s="29" t="s">
        <v>366</v>
      </c>
      <c r="K148" s="57" t="s">
        <v>15</v>
      </c>
      <c r="L148" s="30" t="str">
        <f>IF(RIGHT(K148,2)="WS", LEFT(K148,LEN(K148)-2),K148)</f>
        <v>PCTAGSLPHIGH2001</v>
      </c>
      <c r="M148" s="30" t="str">
        <f>INDEX(Active!J:J, MATCH(Spearmans2!L148, Active!F:F,0),1)</f>
        <v>Percent of Agriculture of 20% Slope</v>
      </c>
      <c r="N148" s="30" t="str">
        <f>INDEX(Active!B:B, MATCH(Spearmans2!L148, Active!F:F,0),1)</f>
        <v>Anthropogenic</v>
      </c>
      <c r="O148" s="30" t="str">
        <f>INDEX(Active!K:K, MATCH(Spearmans2!L148, Active!F:F,0),1)</f>
        <v>% of AOI area classified as ag land cover (NLCD classes 81-82) occurring on slopes &gt; 20%</v>
      </c>
      <c r="P148" s="53" t="s">
        <v>359</v>
      </c>
      <c r="Q148" s="30" t="s">
        <v>92</v>
      </c>
      <c r="R148" s="30" t="s">
        <v>360</v>
      </c>
      <c r="S148" s="31">
        <v>0.91387837758319224</v>
      </c>
    </row>
    <row r="149" spans="1:19" s="19" customFormat="1" x14ac:dyDescent="0.3">
      <c r="A149" s="37" t="s">
        <v>69</v>
      </c>
      <c r="B149" s="25" t="str">
        <f>IF(RIGHT(A149,2)="WS", LEFT(A149,LEN(A149)-2),A149)</f>
        <v>PCTBURNAREA2002</v>
      </c>
      <c r="C149" s="25" t="str">
        <f>INDEX(Active!J:J, MATCH(Spearmans2!B149, Active!F:F,0),1)</f>
        <v>Wildfire Burn Percent 1984-2018</v>
      </c>
      <c r="D149" s="25" t="str">
        <f>INDEX(Active!B:B, MATCH(Spearmans2!B149, Active!F:F,0),1)</f>
        <v>Natural</v>
      </c>
      <c r="E149" s="25" t="str">
        <f>INDEX(Active!D:D, MATCH(Spearmans2!B149, Active!F:F,0),1)</f>
        <v>Wildfire</v>
      </c>
      <c r="F149" s="25" t="str">
        <f>INDEX(Active!K:K, MATCH(Spearmans2!B149, Active!F:F,0),1)</f>
        <v>Mean % of AOI burned from wildfires for each year for 1984-2018</v>
      </c>
      <c r="G149" s="37" t="s">
        <v>384</v>
      </c>
      <c r="H149" s="25" t="s">
        <v>103</v>
      </c>
      <c r="I149" s="25" t="s">
        <v>380</v>
      </c>
      <c r="J149" s="25" t="s">
        <v>385</v>
      </c>
      <c r="K149" s="55" t="s">
        <v>74</v>
      </c>
      <c r="L149" s="26" t="str">
        <f>IF(RIGHT(K149,2)="WS", LEFT(K149,LEN(K149)-2),K149)</f>
        <v>PCTFIRE2002</v>
      </c>
      <c r="M149" s="26" t="str">
        <f>INDEX(Active!J:J, MATCH(Spearmans2!L149, Active!F:F,0),1)</f>
        <v>Forest Fire Loss</v>
      </c>
      <c r="N149" s="26" t="str">
        <f>INDEX(Active!B:B, MATCH(Spearmans2!L149, Active!F:F,0),1)</f>
        <v>Natural</v>
      </c>
      <c r="O149" s="26" t="str">
        <f>INDEX(Active!K:K, MATCH(Spearmans2!L149, Active!F:F,0),1)</f>
        <v>% Forest loss to fire (fire perimeter) within AOI</v>
      </c>
      <c r="P149" s="52" t="s">
        <v>426</v>
      </c>
      <c r="Q149" s="26" t="s">
        <v>103</v>
      </c>
      <c r="R149" s="26" t="s">
        <v>427</v>
      </c>
      <c r="S149" s="27">
        <v>0.85881157540918585</v>
      </c>
    </row>
    <row r="150" spans="1:19" s="20" customFormat="1" x14ac:dyDescent="0.3">
      <c r="A150" s="33" t="s">
        <v>69</v>
      </c>
      <c r="B150" s="23" t="str">
        <f>IF(RIGHT(A150,2)="WS", LEFT(A150,LEN(A150)-2),A150)</f>
        <v>PCTBURNAREA2002</v>
      </c>
      <c r="C150" s="23" t="str">
        <f>INDEX(Active!J:J, MATCH(Spearmans2!B150, Active!F:F,0),1)</f>
        <v>Wildfire Burn Percent 1984-2018</v>
      </c>
      <c r="D150" s="23" t="str">
        <f>INDEX(Active!B:B, MATCH(Spearmans2!B150, Active!F:F,0),1)</f>
        <v>Natural</v>
      </c>
      <c r="E150" s="23" t="str">
        <f>INDEX(Active!D:D, MATCH(Spearmans2!B150, Active!F:F,0),1)</f>
        <v>Wildfire</v>
      </c>
      <c r="F150" s="23" t="str">
        <f>INDEX(Active!K:K, MATCH(Spearmans2!B150, Active!F:F,0),1)</f>
        <v>Mean % of AOI burned from wildfires for each year for 1984-2018</v>
      </c>
      <c r="G150" s="33" t="s">
        <v>384</v>
      </c>
      <c r="H150" s="23" t="s">
        <v>103</v>
      </c>
      <c r="I150" s="23" t="s">
        <v>380</v>
      </c>
      <c r="J150" s="23" t="s">
        <v>385</v>
      </c>
      <c r="K150" s="56" t="s">
        <v>73</v>
      </c>
      <c r="L150" s="24" t="str">
        <f>IF(RIGHT(K150,2)="WS", LEFT(K150,LEN(K150)-2),K150)</f>
        <v>PCTHIGHSEV2002</v>
      </c>
      <c r="M150" s="24" t="str">
        <f>INDEX(Active!J:J, MATCH(Spearmans2!L150, Active!F:F,0),1)</f>
        <v>Percent High Burn Severity Class For Year</v>
      </c>
      <c r="N150" s="24" t="str">
        <f>INDEX(Active!B:B, MATCH(Spearmans2!L150, Active!F:F,0),1)</f>
        <v>Natural</v>
      </c>
      <c r="O150" s="24" t="str">
        <f>INDEX(Active!K:K, MATCH(Spearmans2!L150, Active!F:F,0),1)</f>
        <v>% of AOI in each burn severity class for wildfires for each year for 1984-2018</v>
      </c>
      <c r="P150" s="34" t="s">
        <v>469</v>
      </c>
      <c r="Q150" s="24" t="s">
        <v>103</v>
      </c>
      <c r="R150" s="24" t="s">
        <v>470</v>
      </c>
      <c r="S150" s="28">
        <v>0.87132174741287949</v>
      </c>
    </row>
    <row r="151" spans="1:19" s="20" customFormat="1" x14ac:dyDescent="0.3">
      <c r="A151" s="33" t="s">
        <v>69</v>
      </c>
      <c r="B151" s="23" t="str">
        <f>IF(RIGHT(A151,2)="WS", LEFT(A151,LEN(A151)-2),A151)</f>
        <v>PCTBURNAREA2002</v>
      </c>
      <c r="C151" s="23" t="str">
        <f>INDEX(Active!J:J, MATCH(Spearmans2!B151, Active!F:F,0),1)</f>
        <v>Wildfire Burn Percent 1984-2018</v>
      </c>
      <c r="D151" s="23" t="str">
        <f>INDEX(Active!B:B, MATCH(Spearmans2!B151, Active!F:F,0),1)</f>
        <v>Natural</v>
      </c>
      <c r="E151" s="23" t="str">
        <f>INDEX(Active!D:D, MATCH(Spearmans2!B151, Active!F:F,0),1)</f>
        <v>Wildfire</v>
      </c>
      <c r="F151" s="23" t="str">
        <f>INDEX(Active!K:K, MATCH(Spearmans2!B151, Active!F:F,0),1)</f>
        <v>Mean % of AOI burned from wildfires for each year for 1984-2018</v>
      </c>
      <c r="G151" s="33" t="s">
        <v>384</v>
      </c>
      <c r="H151" s="23" t="s">
        <v>103</v>
      </c>
      <c r="I151" s="23" t="s">
        <v>380</v>
      </c>
      <c r="J151" s="23" t="s">
        <v>385</v>
      </c>
      <c r="K151" s="56" t="s">
        <v>72</v>
      </c>
      <c r="L151" s="24" t="str">
        <f>IF(RIGHT(K151,2)="WS", LEFT(K151,LEN(K151)-2),K151)</f>
        <v>PCTMODSEV2002</v>
      </c>
      <c r="M151" s="24" t="str">
        <f>INDEX(Active!J:J, MATCH(Spearmans2!L151, Active!F:F,0),1)</f>
        <v>Percent Moderate Burn Severity Class For Year</v>
      </c>
      <c r="N151" s="24" t="str">
        <f>INDEX(Active!B:B, MATCH(Spearmans2!L151, Active!F:F,0),1)</f>
        <v>Natural</v>
      </c>
      <c r="O151" s="24" t="str">
        <f>INDEX(Active!K:K, MATCH(Spearmans2!L151, Active!F:F,0),1)</f>
        <v>% of AOI in each burn severity class for wildfires for each year for 1984-2018</v>
      </c>
      <c r="P151" s="34" t="s">
        <v>500</v>
      </c>
      <c r="Q151" s="24" t="s">
        <v>103</v>
      </c>
      <c r="R151" s="24" t="s">
        <v>470</v>
      </c>
      <c r="S151" s="28">
        <v>0.93199004131626018</v>
      </c>
    </row>
    <row r="152" spans="1:19" s="20" customFormat="1" x14ac:dyDescent="0.3">
      <c r="A152" s="33" t="s">
        <v>69</v>
      </c>
      <c r="B152" s="23" t="str">
        <f>IF(RIGHT(A152,2)="WS", LEFT(A152,LEN(A152)-2),A152)</f>
        <v>PCTBURNAREA2002</v>
      </c>
      <c r="C152" s="23" t="str">
        <f>INDEX(Active!J:J, MATCH(Spearmans2!B152, Active!F:F,0),1)</f>
        <v>Wildfire Burn Percent 1984-2018</v>
      </c>
      <c r="D152" s="23" t="str">
        <f>INDEX(Active!B:B, MATCH(Spearmans2!B152, Active!F:F,0),1)</f>
        <v>Natural</v>
      </c>
      <c r="E152" s="23" t="str">
        <f>INDEX(Active!D:D, MATCH(Spearmans2!B152, Active!F:F,0),1)</f>
        <v>Wildfire</v>
      </c>
      <c r="F152" s="23" t="str">
        <f>INDEX(Active!K:K, MATCH(Spearmans2!B152, Active!F:F,0),1)</f>
        <v>Mean % of AOI burned from wildfires for each year for 1984-2018</v>
      </c>
      <c r="G152" s="33" t="s">
        <v>384</v>
      </c>
      <c r="H152" s="23" t="s">
        <v>103</v>
      </c>
      <c r="I152" s="23" t="s">
        <v>380</v>
      </c>
      <c r="J152" s="23" t="s">
        <v>385</v>
      </c>
      <c r="K152" s="56" t="s">
        <v>71</v>
      </c>
      <c r="L152" s="24" t="str">
        <f>IF(RIGHT(K152,2)="WS", LEFT(K152,LEN(K152)-2),K152)</f>
        <v>PCTLOWSEV2002</v>
      </c>
      <c r="M152" s="24" t="str">
        <f>INDEX(Active!J:J, MATCH(Spearmans2!L152, Active!F:F,0),1)</f>
        <v>Percent Low Burn Severity Class For Year</v>
      </c>
      <c r="N152" s="24" t="str">
        <f>INDEX(Active!B:B, MATCH(Spearmans2!L152, Active!F:F,0),1)</f>
        <v>Natural</v>
      </c>
      <c r="O152" s="24" t="str">
        <f>INDEX(Active!K:K, MATCH(Spearmans2!L152, Active!F:F,0),1)</f>
        <v>% of AOI in each burn severity class for wildfires for each year for 1984-2018</v>
      </c>
      <c r="P152" s="34" t="s">
        <v>497</v>
      </c>
      <c r="Q152" s="24" t="s">
        <v>103</v>
      </c>
      <c r="R152" s="24" t="s">
        <v>470</v>
      </c>
      <c r="S152" s="28">
        <v>0.9907828241407215</v>
      </c>
    </row>
    <row r="153" spans="1:19" s="21" customFormat="1" x14ac:dyDescent="0.3">
      <c r="A153" s="38" t="s">
        <v>69</v>
      </c>
      <c r="B153" s="29" t="str">
        <f>IF(RIGHT(A153,2)="WS", LEFT(A153,LEN(A153)-2),A153)</f>
        <v>PCTBURNAREA2002</v>
      </c>
      <c r="C153" s="29" t="str">
        <f>INDEX(Active!J:J, MATCH(Spearmans2!B153, Active!F:F,0),1)</f>
        <v>Wildfire Burn Percent 1984-2018</v>
      </c>
      <c r="D153" s="29" t="str">
        <f>INDEX(Active!B:B, MATCH(Spearmans2!B153, Active!F:F,0),1)</f>
        <v>Natural</v>
      </c>
      <c r="E153" s="29" t="str">
        <f>INDEX(Active!D:D, MATCH(Spearmans2!B153, Active!F:F,0),1)</f>
        <v>Wildfire</v>
      </c>
      <c r="F153" s="29" t="str">
        <f>INDEX(Active!K:K, MATCH(Spearmans2!B153, Active!F:F,0),1)</f>
        <v>Mean % of AOI burned from wildfires for each year for 1984-2018</v>
      </c>
      <c r="G153" s="38" t="s">
        <v>384</v>
      </c>
      <c r="H153" s="29" t="s">
        <v>103</v>
      </c>
      <c r="I153" s="29" t="s">
        <v>380</v>
      </c>
      <c r="J153" s="29" t="s">
        <v>385</v>
      </c>
      <c r="K153" s="57" t="s">
        <v>70</v>
      </c>
      <c r="L153" s="30" t="str">
        <f>IF(RIGHT(K153,2)="WS", LEFT(K153,LEN(K153)-2),K153)</f>
        <v>PCTUNDSEV2002</v>
      </c>
      <c r="M153" s="30" t="str">
        <f>INDEX(Active!J:J, MATCH(Spearmans2!L153, Active!F:F,0),1)</f>
        <v>Percent Underburned to Low Burn Severity Class For Year</v>
      </c>
      <c r="N153" s="30" t="str">
        <f>INDEX(Active!B:B, MATCH(Spearmans2!L153, Active!F:F,0),1)</f>
        <v>Natural</v>
      </c>
      <c r="O153" s="30" t="str">
        <f>INDEX(Active!K:K, MATCH(Spearmans2!L153, Active!F:F,0),1)</f>
        <v>% of AOI in each burn severity class for wildfires for each year for 1984-2018</v>
      </c>
      <c r="P153" s="53" t="s">
        <v>536</v>
      </c>
      <c r="Q153" s="30" t="s">
        <v>103</v>
      </c>
      <c r="R153" s="30" t="s">
        <v>470</v>
      </c>
      <c r="S153" s="31">
        <v>0.99981548340304216</v>
      </c>
    </row>
    <row r="154" spans="1:19" s="36" customFormat="1" x14ac:dyDescent="0.3">
      <c r="A154" s="39" t="s">
        <v>49</v>
      </c>
      <c r="B154" s="16" t="str">
        <f>IF(RIGHT(A154,2)="WS", LEFT(A154,LEN(A154)-2),A154)</f>
        <v>PCTDECID2001</v>
      </c>
      <c r="C154" s="16" t="str">
        <f>INDEX(Active!J:J, MATCH(Spearmans2!B154, Active!F:F,0),1)</f>
        <v>Deciduous Forest Percentage</v>
      </c>
      <c r="D154" s="16" t="str">
        <f>INDEX(Active!B:B, MATCH(Spearmans2!B154, Active!F:F,0),1)</f>
        <v>Natural</v>
      </c>
      <c r="E154" s="16" t="str">
        <f>INDEX(Active!D:D, MATCH(Spearmans2!B154, Active!F:F,0),1)</f>
        <v>Land Cover</v>
      </c>
      <c r="F154" s="16" t="str">
        <f>INDEX(Active!K:K, MATCH(Spearmans2!B154, Active!F:F,0),1)</f>
        <v>% of AOI area classified as deciduous forest land cover (NLCD class 41)</v>
      </c>
      <c r="G154" s="39" t="s">
        <v>409</v>
      </c>
      <c r="H154" s="16" t="s">
        <v>103</v>
      </c>
      <c r="I154" s="16" t="s">
        <v>375</v>
      </c>
      <c r="J154" s="16" t="s">
        <v>410</v>
      </c>
      <c r="K154" s="58" t="s">
        <v>50</v>
      </c>
      <c r="L154" s="17" t="str">
        <f>IF(RIGHT(K154,2)="WS", LEFT(K154,LEN(K154)-2),K154)</f>
        <v>PCTMXFST2001</v>
      </c>
      <c r="M154" s="17" t="str">
        <f>INDEX(Active!J:J, MATCH(Spearmans2!L154, Active!F:F,0),1)</f>
        <v>Mixed Deciduous/Evergreen Forest Percentage</v>
      </c>
      <c r="N154" s="17" t="str">
        <f>INDEX(Active!B:B, MATCH(Spearmans2!L154, Active!F:F,0),1)</f>
        <v>Natural</v>
      </c>
      <c r="O154" s="17" t="str">
        <f>INDEX(Active!K:K, MATCH(Spearmans2!L154, Active!F:F,0),1)</f>
        <v>% of AOI area classified as mixed deciduous/evergreen forest land cover (NLCD class 43)</v>
      </c>
      <c r="P154" s="45" t="s">
        <v>503</v>
      </c>
      <c r="Q154" s="17" t="s">
        <v>103</v>
      </c>
      <c r="R154" s="17" t="s">
        <v>504</v>
      </c>
      <c r="S154" s="18">
        <v>0.8038411955459116</v>
      </c>
    </row>
    <row r="155" spans="1:19" s="19" customFormat="1" x14ac:dyDescent="0.3">
      <c r="A155" s="37" t="s">
        <v>74</v>
      </c>
      <c r="B155" s="25" t="str">
        <f>IF(RIGHT(A155,2)="WS", LEFT(A155,LEN(A155)-2),A155)</f>
        <v>PCTFIRE2002</v>
      </c>
      <c r="C155" s="25" t="str">
        <f>INDEX(Active!J:J, MATCH(Spearmans2!B155, Active!F:F,0),1)</f>
        <v>Forest Fire Loss</v>
      </c>
      <c r="D155" s="25" t="str">
        <f>INDEX(Active!B:B, MATCH(Spearmans2!B155, Active!F:F,0),1)</f>
        <v>Natural</v>
      </c>
      <c r="E155" s="25" t="str">
        <f>INDEX(Active!D:D, MATCH(Spearmans2!B155, Active!F:F,0),1)</f>
        <v>Wildfire</v>
      </c>
      <c r="F155" s="25" t="str">
        <f>INDEX(Active!K:K, MATCH(Spearmans2!B155, Active!F:F,0),1)</f>
        <v>% Forest loss to fire (fire perimeter) within AOI</v>
      </c>
      <c r="G155" s="37" t="s">
        <v>426</v>
      </c>
      <c r="H155" s="25" t="s">
        <v>103</v>
      </c>
      <c r="I155" s="25" t="s">
        <v>380</v>
      </c>
      <c r="J155" s="25" t="s">
        <v>427</v>
      </c>
      <c r="K155" s="55" t="s">
        <v>70</v>
      </c>
      <c r="L155" s="26" t="str">
        <f>IF(RIGHT(K155,2)="WS", LEFT(K155,LEN(K155)-2),K155)</f>
        <v>PCTUNDSEV2002</v>
      </c>
      <c r="M155" s="26" t="str">
        <f>INDEX(Active!J:J, MATCH(Spearmans2!L155, Active!F:F,0),1)</f>
        <v>Percent Underburned to Low Burn Severity Class For Year</v>
      </c>
      <c r="N155" s="26" t="str">
        <f>INDEX(Active!B:B, MATCH(Spearmans2!L155, Active!F:F,0),1)</f>
        <v>Natural</v>
      </c>
      <c r="O155" s="26" t="str">
        <f>INDEX(Active!K:K, MATCH(Spearmans2!L155, Active!F:F,0),1)</f>
        <v>% of AOI in each burn severity class for wildfires for each year for 1984-2018</v>
      </c>
      <c r="P155" s="52" t="s">
        <v>536</v>
      </c>
      <c r="Q155" s="26" t="s">
        <v>103</v>
      </c>
      <c r="R155" s="26" t="s">
        <v>470</v>
      </c>
      <c r="S155" s="27">
        <v>0.85833138031151224</v>
      </c>
    </row>
    <row r="156" spans="1:19" s="20" customFormat="1" x14ac:dyDescent="0.3">
      <c r="A156" s="33" t="s">
        <v>74</v>
      </c>
      <c r="B156" s="23" t="str">
        <f>IF(RIGHT(A156,2)="WS", LEFT(A156,LEN(A156)-2),A156)</f>
        <v>PCTFIRE2002</v>
      </c>
      <c r="C156" s="23" t="str">
        <f>INDEX(Active!J:J, MATCH(Spearmans2!B156, Active!F:F,0),1)</f>
        <v>Forest Fire Loss</v>
      </c>
      <c r="D156" s="23" t="str">
        <f>INDEX(Active!B:B, MATCH(Spearmans2!B156, Active!F:F,0),1)</f>
        <v>Natural</v>
      </c>
      <c r="E156" s="23" t="str">
        <f>INDEX(Active!D:D, MATCH(Spearmans2!B156, Active!F:F,0),1)</f>
        <v>Wildfire</v>
      </c>
      <c r="F156" s="23" t="str">
        <f>INDEX(Active!K:K, MATCH(Spearmans2!B156, Active!F:F,0),1)</f>
        <v>% Forest loss to fire (fire perimeter) within AOI</v>
      </c>
      <c r="G156" s="33" t="s">
        <v>426</v>
      </c>
      <c r="H156" s="23" t="s">
        <v>103</v>
      </c>
      <c r="I156" s="23" t="s">
        <v>380</v>
      </c>
      <c r="J156" s="23" t="s">
        <v>427</v>
      </c>
      <c r="K156" s="56" t="s">
        <v>69</v>
      </c>
      <c r="L156" s="24" t="str">
        <f>IF(RIGHT(K156,2)="WS", LEFT(K156,LEN(K156)-2),K156)</f>
        <v>PCTBURNAREA2002</v>
      </c>
      <c r="M156" s="24" t="str">
        <f>INDEX(Active!J:J, MATCH(Spearmans2!L156, Active!F:F,0),1)</f>
        <v>Wildfire Burn Percent 1984-2018</v>
      </c>
      <c r="N156" s="24" t="str">
        <f>INDEX(Active!B:B, MATCH(Spearmans2!L156, Active!F:F,0),1)</f>
        <v>Natural</v>
      </c>
      <c r="O156" s="24" t="str">
        <f>INDEX(Active!K:K, MATCH(Spearmans2!L156, Active!F:F,0),1)</f>
        <v>Mean % of AOI burned from wildfires for each year for 1984-2018</v>
      </c>
      <c r="P156" s="34" t="s">
        <v>384</v>
      </c>
      <c r="Q156" s="24" t="s">
        <v>103</v>
      </c>
      <c r="R156" s="24" t="s">
        <v>385</v>
      </c>
      <c r="S156" s="28">
        <v>0.85881157540918585</v>
      </c>
    </row>
    <row r="157" spans="1:19" s="20" customFormat="1" x14ac:dyDescent="0.3">
      <c r="A157" s="33" t="s">
        <v>74</v>
      </c>
      <c r="B157" s="23" t="str">
        <f>IF(RIGHT(A157,2)="WS", LEFT(A157,LEN(A157)-2),A157)</f>
        <v>PCTFIRE2002</v>
      </c>
      <c r="C157" s="23" t="str">
        <f>INDEX(Active!J:J, MATCH(Spearmans2!B157, Active!F:F,0),1)</f>
        <v>Forest Fire Loss</v>
      </c>
      <c r="D157" s="23" t="str">
        <f>INDEX(Active!B:B, MATCH(Spearmans2!B157, Active!F:F,0),1)</f>
        <v>Natural</v>
      </c>
      <c r="E157" s="23" t="str">
        <f>INDEX(Active!D:D, MATCH(Spearmans2!B157, Active!F:F,0),1)</f>
        <v>Wildfire</v>
      </c>
      <c r="F157" s="23" t="str">
        <f>INDEX(Active!K:K, MATCH(Spearmans2!B157, Active!F:F,0),1)</f>
        <v>% Forest loss to fire (fire perimeter) within AOI</v>
      </c>
      <c r="G157" s="33" t="s">
        <v>426</v>
      </c>
      <c r="H157" s="23" t="s">
        <v>103</v>
      </c>
      <c r="I157" s="23" t="s">
        <v>380</v>
      </c>
      <c r="J157" s="23" t="s">
        <v>427</v>
      </c>
      <c r="K157" s="56" t="s">
        <v>71</v>
      </c>
      <c r="L157" s="24" t="str">
        <f>IF(RIGHT(K157,2)="WS", LEFT(K157,LEN(K157)-2),K157)</f>
        <v>PCTLOWSEV2002</v>
      </c>
      <c r="M157" s="24" t="str">
        <f>INDEX(Active!J:J, MATCH(Spearmans2!L157, Active!F:F,0),1)</f>
        <v>Percent Low Burn Severity Class For Year</v>
      </c>
      <c r="N157" s="24" t="str">
        <f>INDEX(Active!B:B, MATCH(Spearmans2!L157, Active!F:F,0),1)</f>
        <v>Natural</v>
      </c>
      <c r="O157" s="24" t="str">
        <f>INDEX(Active!K:K, MATCH(Spearmans2!L157, Active!F:F,0),1)</f>
        <v>% of AOI in each burn severity class for wildfires for each year for 1984-2018</v>
      </c>
      <c r="P157" s="34" t="s">
        <v>497</v>
      </c>
      <c r="Q157" s="24" t="s">
        <v>103</v>
      </c>
      <c r="R157" s="24" t="s">
        <v>470</v>
      </c>
      <c r="S157" s="28">
        <v>0.86558004334406358</v>
      </c>
    </row>
    <row r="158" spans="1:19" s="20" customFormat="1" x14ac:dyDescent="0.3">
      <c r="A158" s="33" t="s">
        <v>74</v>
      </c>
      <c r="B158" s="23" t="str">
        <f>IF(RIGHT(A158,2)="WS", LEFT(A158,LEN(A158)-2),A158)</f>
        <v>PCTFIRE2002</v>
      </c>
      <c r="C158" s="23" t="str">
        <f>INDEX(Active!J:J, MATCH(Spearmans2!B158, Active!F:F,0),1)</f>
        <v>Forest Fire Loss</v>
      </c>
      <c r="D158" s="23" t="str">
        <f>INDEX(Active!B:B, MATCH(Spearmans2!B158, Active!F:F,0),1)</f>
        <v>Natural</v>
      </c>
      <c r="E158" s="23" t="str">
        <f>INDEX(Active!D:D, MATCH(Spearmans2!B158, Active!F:F,0),1)</f>
        <v>Wildfire</v>
      </c>
      <c r="F158" s="23" t="str">
        <f>INDEX(Active!K:K, MATCH(Spearmans2!B158, Active!F:F,0),1)</f>
        <v>% Forest loss to fire (fire perimeter) within AOI</v>
      </c>
      <c r="G158" s="33" t="s">
        <v>426</v>
      </c>
      <c r="H158" s="23" t="s">
        <v>103</v>
      </c>
      <c r="I158" s="23" t="s">
        <v>380</v>
      </c>
      <c r="J158" s="23" t="s">
        <v>427</v>
      </c>
      <c r="K158" s="56" t="s">
        <v>73</v>
      </c>
      <c r="L158" s="24" t="str">
        <f>IF(RIGHT(K158,2)="WS", LEFT(K158,LEN(K158)-2),K158)</f>
        <v>PCTHIGHSEV2002</v>
      </c>
      <c r="M158" s="24" t="str">
        <f>INDEX(Active!J:J, MATCH(Spearmans2!L158, Active!F:F,0),1)</f>
        <v>Percent High Burn Severity Class For Year</v>
      </c>
      <c r="N158" s="24" t="str">
        <f>INDEX(Active!B:B, MATCH(Spearmans2!L158, Active!F:F,0),1)</f>
        <v>Natural</v>
      </c>
      <c r="O158" s="24" t="str">
        <f>INDEX(Active!K:K, MATCH(Spearmans2!L158, Active!F:F,0),1)</f>
        <v>% of AOI in each burn severity class for wildfires for each year for 1984-2018</v>
      </c>
      <c r="P158" s="34" t="s">
        <v>469</v>
      </c>
      <c r="Q158" s="24" t="s">
        <v>103</v>
      </c>
      <c r="R158" s="24" t="s">
        <v>470</v>
      </c>
      <c r="S158" s="28">
        <v>0.8736907759835858</v>
      </c>
    </row>
    <row r="159" spans="1:19" s="21" customFormat="1" x14ac:dyDescent="0.3">
      <c r="A159" s="38" t="s">
        <v>74</v>
      </c>
      <c r="B159" s="29" t="str">
        <f>IF(RIGHT(A159,2)="WS", LEFT(A159,LEN(A159)-2),A159)</f>
        <v>PCTFIRE2002</v>
      </c>
      <c r="C159" s="29" t="str">
        <f>INDEX(Active!J:J, MATCH(Spearmans2!B159, Active!F:F,0),1)</f>
        <v>Forest Fire Loss</v>
      </c>
      <c r="D159" s="29" t="str">
        <f>INDEX(Active!B:B, MATCH(Spearmans2!B159, Active!F:F,0),1)</f>
        <v>Natural</v>
      </c>
      <c r="E159" s="29" t="str">
        <f>INDEX(Active!D:D, MATCH(Spearmans2!B159, Active!F:F,0),1)</f>
        <v>Wildfire</v>
      </c>
      <c r="F159" s="29" t="str">
        <f>INDEX(Active!K:K, MATCH(Spearmans2!B159, Active!F:F,0),1)</f>
        <v>% Forest loss to fire (fire perimeter) within AOI</v>
      </c>
      <c r="G159" s="38" t="s">
        <v>426</v>
      </c>
      <c r="H159" s="29" t="s">
        <v>103</v>
      </c>
      <c r="I159" s="29" t="s">
        <v>380</v>
      </c>
      <c r="J159" s="29" t="s">
        <v>427</v>
      </c>
      <c r="K159" s="57" t="s">
        <v>72</v>
      </c>
      <c r="L159" s="30" t="str">
        <f>IF(RIGHT(K159,2)="WS", LEFT(K159,LEN(K159)-2),K159)</f>
        <v>PCTMODSEV2002</v>
      </c>
      <c r="M159" s="30" t="str">
        <f>INDEX(Active!J:J, MATCH(Spearmans2!L159, Active!F:F,0),1)</f>
        <v>Percent Moderate Burn Severity Class For Year</v>
      </c>
      <c r="N159" s="30" t="str">
        <f>INDEX(Active!B:B, MATCH(Spearmans2!L159, Active!F:F,0),1)</f>
        <v>Natural</v>
      </c>
      <c r="O159" s="30" t="str">
        <f>INDEX(Active!K:K, MATCH(Spearmans2!L159, Active!F:F,0),1)</f>
        <v>% of AOI in each burn severity class for wildfires for each year for 1984-2018</v>
      </c>
      <c r="P159" s="53" t="s">
        <v>500</v>
      </c>
      <c r="Q159" s="30" t="s">
        <v>103</v>
      </c>
      <c r="R159" s="30" t="s">
        <v>470</v>
      </c>
      <c r="S159" s="31">
        <v>0.87927044021948175</v>
      </c>
    </row>
    <row r="160" spans="1:19" s="19" customFormat="1" x14ac:dyDescent="0.3">
      <c r="A160" s="37" t="s">
        <v>16</v>
      </c>
      <c r="B160" s="25" t="str">
        <f>IF(RIGHT(A160,2)="WS", LEFT(A160,LEN(A160)-2),A160)</f>
        <v>PCTHAY2001</v>
      </c>
      <c r="C160" s="25" t="str">
        <f>INDEX(Active!J:J, MATCH(Spearmans2!B160, Active!F:F,0),1)</f>
        <v>Pasture/Hay Percentage</v>
      </c>
      <c r="D160" s="25" t="str">
        <f>INDEX(Active!B:B, MATCH(Spearmans2!B160, Active!F:F,0),1)</f>
        <v>Anthropogenic</v>
      </c>
      <c r="E160" s="25" t="str">
        <f>INDEX(Active!D:D, MATCH(Spearmans2!B160, Active!F:F,0),1)</f>
        <v>Agriculture</v>
      </c>
      <c r="F160" s="25" t="str">
        <f>INDEX(Active!K:K, MATCH(Spearmans2!B160, Active!F:F,0),1)</f>
        <v>% of AOI area classified as hay land use (NLCD class 81)</v>
      </c>
      <c r="G160" s="37" t="s">
        <v>461</v>
      </c>
      <c r="H160" s="25" t="s">
        <v>92</v>
      </c>
      <c r="I160" s="25" t="s">
        <v>94</v>
      </c>
      <c r="J160" s="25" t="s">
        <v>462</v>
      </c>
      <c r="K160" s="55" t="s">
        <v>15</v>
      </c>
      <c r="L160" s="26" t="str">
        <f>IF(RIGHT(K160,2)="WS", LEFT(K160,LEN(K160)-2),K160)</f>
        <v>PCTAGSLPHIGH2001</v>
      </c>
      <c r="M160" s="26" t="str">
        <f>INDEX(Active!J:J, MATCH(Spearmans2!L160, Active!F:F,0),1)</f>
        <v>Percent of Agriculture of 20% Slope</v>
      </c>
      <c r="N160" s="26" t="str">
        <f>INDEX(Active!B:B, MATCH(Spearmans2!L160, Active!F:F,0),1)</f>
        <v>Anthropogenic</v>
      </c>
      <c r="O160" s="26" t="str">
        <f>INDEX(Active!K:K, MATCH(Spearmans2!L160, Active!F:F,0),1)</f>
        <v>% of AOI area classified as ag land cover (NLCD classes 81-82) occurring on slopes &gt; 20%</v>
      </c>
      <c r="P160" s="52" t="s">
        <v>359</v>
      </c>
      <c r="Q160" s="26" t="s">
        <v>92</v>
      </c>
      <c r="R160" s="26" t="s">
        <v>360</v>
      </c>
      <c r="S160" s="27">
        <v>0.80004199165268453</v>
      </c>
    </row>
    <row r="161" spans="1:19" s="21" customFormat="1" x14ac:dyDescent="0.3">
      <c r="A161" s="38" t="s">
        <v>16</v>
      </c>
      <c r="B161" s="29" t="str">
        <f>IF(RIGHT(A161,2)="WS", LEFT(A161,LEN(A161)-2),A161)</f>
        <v>PCTHAY2001</v>
      </c>
      <c r="C161" s="29" t="str">
        <f>INDEX(Active!J:J, MATCH(Spearmans2!B161, Active!F:F,0),1)</f>
        <v>Pasture/Hay Percentage</v>
      </c>
      <c r="D161" s="29" t="str">
        <f>INDEX(Active!B:B, MATCH(Spearmans2!B161, Active!F:F,0),1)</f>
        <v>Anthropogenic</v>
      </c>
      <c r="E161" s="29" t="str">
        <f>INDEX(Active!D:D, MATCH(Spearmans2!B161, Active!F:F,0),1)</f>
        <v>Agriculture</v>
      </c>
      <c r="F161" s="29" t="str">
        <f>INDEX(Active!K:K, MATCH(Spearmans2!B161, Active!F:F,0),1)</f>
        <v>% of AOI area classified as hay land use (NLCD class 81)</v>
      </c>
      <c r="G161" s="38" t="s">
        <v>461</v>
      </c>
      <c r="H161" s="29" t="s">
        <v>92</v>
      </c>
      <c r="I161" s="29" t="s">
        <v>94</v>
      </c>
      <c r="J161" s="29" t="s">
        <v>462</v>
      </c>
      <c r="K161" s="57" t="s">
        <v>14</v>
      </c>
      <c r="L161" s="30" t="str">
        <f>IF(RIGHT(K161,2)="WS", LEFT(K161,LEN(K161)-2),K161)</f>
        <v>PCTAGSLPMID2001</v>
      </c>
      <c r="M161" s="30" t="str">
        <f>INDEX(Active!J:J, MATCH(Spearmans2!L161, Active!F:F,0),1)</f>
        <v>Percent of Agriculture of 10% Slope</v>
      </c>
      <c r="N161" s="30" t="str">
        <f>INDEX(Active!B:B, MATCH(Spearmans2!L161, Active!F:F,0),1)</f>
        <v>Anthropogenic</v>
      </c>
      <c r="O161" s="30" t="str">
        <f>INDEX(Active!K:K, MATCH(Spearmans2!L161, Active!F:F,0),1)</f>
        <v>% of AOI area classified as ag land cover (NLCD classes 81-82) occurring on slopes &gt; 10%</v>
      </c>
      <c r="P161" s="53" t="s">
        <v>365</v>
      </c>
      <c r="Q161" s="30" t="s">
        <v>92</v>
      </c>
      <c r="R161" s="30" t="s">
        <v>366</v>
      </c>
      <c r="S161" s="31">
        <v>0.8927734106206846</v>
      </c>
    </row>
    <row r="162" spans="1:19" s="19" customFormat="1" x14ac:dyDescent="0.3">
      <c r="A162" s="37" t="s">
        <v>73</v>
      </c>
      <c r="B162" s="25" t="str">
        <f>IF(RIGHT(A162,2)="WS", LEFT(A162,LEN(A162)-2),A162)</f>
        <v>PCTHIGHSEV2002</v>
      </c>
      <c r="C162" s="25" t="str">
        <f>INDEX(Active!J:J, MATCH(Spearmans2!B162, Active!F:F,0),1)</f>
        <v>Percent High Burn Severity Class For Year</v>
      </c>
      <c r="D162" s="25" t="str">
        <f>INDEX(Active!B:B, MATCH(Spearmans2!B162, Active!F:F,0),1)</f>
        <v>Natural</v>
      </c>
      <c r="E162" s="25" t="str">
        <f>INDEX(Active!D:D, MATCH(Spearmans2!B162, Active!F:F,0),1)</f>
        <v>Wildfire</v>
      </c>
      <c r="F162" s="25" t="str">
        <f>INDEX(Active!K:K, MATCH(Spearmans2!B162, Active!F:F,0),1)</f>
        <v>% of AOI in each burn severity class for wildfires for each year for 1984-2018</v>
      </c>
      <c r="G162" s="37" t="s">
        <v>469</v>
      </c>
      <c r="H162" s="25" t="s">
        <v>103</v>
      </c>
      <c r="I162" s="25" t="s">
        <v>380</v>
      </c>
      <c r="J162" s="25" t="s">
        <v>470</v>
      </c>
      <c r="K162" s="55" t="s">
        <v>70</v>
      </c>
      <c r="L162" s="26" t="str">
        <f>IF(RIGHT(K162,2)="WS", LEFT(K162,LEN(K162)-2),K162)</f>
        <v>PCTUNDSEV2002</v>
      </c>
      <c r="M162" s="26" t="str">
        <f>INDEX(Active!J:J, MATCH(Spearmans2!L162, Active!F:F,0),1)</f>
        <v>Percent Underburned to Low Burn Severity Class For Year</v>
      </c>
      <c r="N162" s="26" t="str">
        <f>INDEX(Active!B:B, MATCH(Spearmans2!L162, Active!F:F,0),1)</f>
        <v>Natural</v>
      </c>
      <c r="O162" s="26" t="str">
        <f>INDEX(Active!K:K, MATCH(Spearmans2!L162, Active!F:F,0),1)</f>
        <v>% of AOI in each burn severity class for wildfires for each year for 1984-2018</v>
      </c>
      <c r="P162" s="52" t="s">
        <v>536</v>
      </c>
      <c r="Q162" s="26" t="s">
        <v>103</v>
      </c>
      <c r="R162" s="26" t="s">
        <v>470</v>
      </c>
      <c r="S162" s="27">
        <v>0.87024495249893008</v>
      </c>
    </row>
    <row r="163" spans="1:19" s="20" customFormat="1" x14ac:dyDescent="0.3">
      <c r="A163" s="33" t="s">
        <v>73</v>
      </c>
      <c r="B163" s="23" t="str">
        <f>IF(RIGHT(A163,2)="WS", LEFT(A163,LEN(A163)-2),A163)</f>
        <v>PCTHIGHSEV2002</v>
      </c>
      <c r="C163" s="23" t="str">
        <f>INDEX(Active!J:J, MATCH(Spearmans2!B163, Active!F:F,0),1)</f>
        <v>Percent High Burn Severity Class For Year</v>
      </c>
      <c r="D163" s="23" t="str">
        <f>INDEX(Active!B:B, MATCH(Spearmans2!B163, Active!F:F,0),1)</f>
        <v>Natural</v>
      </c>
      <c r="E163" s="23" t="str">
        <f>INDEX(Active!D:D, MATCH(Spearmans2!B163, Active!F:F,0),1)</f>
        <v>Wildfire</v>
      </c>
      <c r="F163" s="23" t="str">
        <f>INDEX(Active!K:K, MATCH(Spearmans2!B163, Active!F:F,0),1)</f>
        <v>% of AOI in each burn severity class for wildfires for each year for 1984-2018</v>
      </c>
      <c r="G163" s="33" t="s">
        <v>469</v>
      </c>
      <c r="H163" s="23" t="s">
        <v>103</v>
      </c>
      <c r="I163" s="23" t="s">
        <v>380</v>
      </c>
      <c r="J163" s="23" t="s">
        <v>470</v>
      </c>
      <c r="K163" s="56" t="s">
        <v>69</v>
      </c>
      <c r="L163" s="24" t="str">
        <f>IF(RIGHT(K163,2)="WS", LEFT(K163,LEN(K163)-2),K163)</f>
        <v>PCTBURNAREA2002</v>
      </c>
      <c r="M163" s="24" t="str">
        <f>INDEX(Active!J:J, MATCH(Spearmans2!L163, Active!F:F,0),1)</f>
        <v>Wildfire Burn Percent 1984-2018</v>
      </c>
      <c r="N163" s="24" t="str">
        <f>INDEX(Active!B:B, MATCH(Spearmans2!L163, Active!F:F,0),1)</f>
        <v>Natural</v>
      </c>
      <c r="O163" s="24" t="str">
        <f>INDEX(Active!K:K, MATCH(Spearmans2!L163, Active!F:F,0),1)</f>
        <v>Mean % of AOI burned from wildfires for each year for 1984-2018</v>
      </c>
      <c r="P163" s="34" t="s">
        <v>384</v>
      </c>
      <c r="Q163" s="24" t="s">
        <v>103</v>
      </c>
      <c r="R163" s="24" t="s">
        <v>385</v>
      </c>
      <c r="S163" s="28">
        <v>0.87132174741287949</v>
      </c>
    </row>
    <row r="164" spans="1:19" s="20" customFormat="1" x14ac:dyDescent="0.3">
      <c r="A164" s="33" t="s">
        <v>73</v>
      </c>
      <c r="B164" s="23" t="str">
        <f>IF(RIGHT(A164,2)="WS", LEFT(A164,LEN(A164)-2),A164)</f>
        <v>PCTHIGHSEV2002</v>
      </c>
      <c r="C164" s="23" t="str">
        <f>INDEX(Active!J:J, MATCH(Spearmans2!B164, Active!F:F,0),1)</f>
        <v>Percent High Burn Severity Class For Year</v>
      </c>
      <c r="D164" s="23" t="str">
        <f>INDEX(Active!B:B, MATCH(Spearmans2!B164, Active!F:F,0),1)</f>
        <v>Natural</v>
      </c>
      <c r="E164" s="23" t="str">
        <f>INDEX(Active!D:D, MATCH(Spearmans2!B164, Active!F:F,0),1)</f>
        <v>Wildfire</v>
      </c>
      <c r="F164" s="23" t="str">
        <f>INDEX(Active!K:K, MATCH(Spearmans2!B164, Active!F:F,0),1)</f>
        <v>% of AOI in each burn severity class for wildfires for each year for 1984-2018</v>
      </c>
      <c r="G164" s="33" t="s">
        <v>469</v>
      </c>
      <c r="H164" s="23" t="s">
        <v>103</v>
      </c>
      <c r="I164" s="23" t="s">
        <v>380</v>
      </c>
      <c r="J164" s="23" t="s">
        <v>470</v>
      </c>
      <c r="K164" s="56" t="s">
        <v>74</v>
      </c>
      <c r="L164" s="24" t="str">
        <f>IF(RIGHT(K164,2)="WS", LEFT(K164,LEN(K164)-2),K164)</f>
        <v>PCTFIRE2002</v>
      </c>
      <c r="M164" s="24" t="str">
        <f>INDEX(Active!J:J, MATCH(Spearmans2!L164, Active!F:F,0),1)</f>
        <v>Forest Fire Loss</v>
      </c>
      <c r="N164" s="24" t="str">
        <f>INDEX(Active!B:B, MATCH(Spearmans2!L164, Active!F:F,0),1)</f>
        <v>Natural</v>
      </c>
      <c r="O164" s="24" t="str">
        <f>INDEX(Active!K:K, MATCH(Spearmans2!L164, Active!F:F,0),1)</f>
        <v>% Forest loss to fire (fire perimeter) within AOI</v>
      </c>
      <c r="P164" s="34" t="s">
        <v>426</v>
      </c>
      <c r="Q164" s="24" t="s">
        <v>103</v>
      </c>
      <c r="R164" s="24" t="s">
        <v>427</v>
      </c>
      <c r="S164" s="28">
        <v>0.8736907759835858</v>
      </c>
    </row>
    <row r="165" spans="1:19" s="20" customFormat="1" x14ac:dyDescent="0.3">
      <c r="A165" s="33" t="s">
        <v>73</v>
      </c>
      <c r="B165" s="23" t="str">
        <f>IF(RIGHT(A165,2)="WS", LEFT(A165,LEN(A165)-2),A165)</f>
        <v>PCTHIGHSEV2002</v>
      </c>
      <c r="C165" s="23" t="str">
        <f>INDEX(Active!J:J, MATCH(Spearmans2!B165, Active!F:F,0),1)</f>
        <v>Percent High Burn Severity Class For Year</v>
      </c>
      <c r="D165" s="23" t="str">
        <f>INDEX(Active!B:B, MATCH(Spearmans2!B165, Active!F:F,0),1)</f>
        <v>Natural</v>
      </c>
      <c r="E165" s="23" t="str">
        <f>INDEX(Active!D:D, MATCH(Spearmans2!B165, Active!F:F,0),1)</f>
        <v>Wildfire</v>
      </c>
      <c r="F165" s="23" t="str">
        <f>INDEX(Active!K:K, MATCH(Spearmans2!B165, Active!F:F,0),1)</f>
        <v>% of AOI in each burn severity class for wildfires for each year for 1984-2018</v>
      </c>
      <c r="G165" s="33" t="s">
        <v>469</v>
      </c>
      <c r="H165" s="23" t="s">
        <v>103</v>
      </c>
      <c r="I165" s="23" t="s">
        <v>380</v>
      </c>
      <c r="J165" s="23" t="s">
        <v>470</v>
      </c>
      <c r="K165" s="56" t="s">
        <v>71</v>
      </c>
      <c r="L165" s="24" t="str">
        <f>IF(RIGHT(K165,2)="WS", LEFT(K165,LEN(K165)-2),K165)</f>
        <v>PCTLOWSEV2002</v>
      </c>
      <c r="M165" s="24" t="str">
        <f>INDEX(Active!J:J, MATCH(Spearmans2!L165, Active!F:F,0),1)</f>
        <v>Percent Low Burn Severity Class For Year</v>
      </c>
      <c r="N165" s="24" t="str">
        <f>INDEX(Active!B:B, MATCH(Spearmans2!L165, Active!F:F,0),1)</f>
        <v>Natural</v>
      </c>
      <c r="O165" s="24" t="str">
        <f>INDEX(Active!K:K, MATCH(Spearmans2!L165, Active!F:F,0),1)</f>
        <v>% of AOI in each burn severity class for wildfires for each year for 1984-2018</v>
      </c>
      <c r="P165" s="34" t="s">
        <v>497</v>
      </c>
      <c r="Q165" s="24" t="s">
        <v>103</v>
      </c>
      <c r="R165" s="24" t="s">
        <v>470</v>
      </c>
      <c r="S165" s="28">
        <v>0.87742974322638534</v>
      </c>
    </row>
    <row r="166" spans="1:19" s="21" customFormat="1" x14ac:dyDescent="0.3">
      <c r="A166" s="38" t="s">
        <v>73</v>
      </c>
      <c r="B166" s="29" t="str">
        <f>IF(RIGHT(A166,2)="WS", LEFT(A166,LEN(A166)-2),A166)</f>
        <v>PCTHIGHSEV2002</v>
      </c>
      <c r="C166" s="29" t="str">
        <f>INDEX(Active!J:J, MATCH(Spearmans2!B166, Active!F:F,0),1)</f>
        <v>Percent High Burn Severity Class For Year</v>
      </c>
      <c r="D166" s="29" t="str">
        <f>INDEX(Active!B:B, MATCH(Spearmans2!B166, Active!F:F,0),1)</f>
        <v>Natural</v>
      </c>
      <c r="E166" s="29" t="str">
        <f>INDEX(Active!D:D, MATCH(Spearmans2!B166, Active!F:F,0),1)</f>
        <v>Wildfire</v>
      </c>
      <c r="F166" s="29" t="str">
        <f>INDEX(Active!K:K, MATCH(Spearmans2!B166, Active!F:F,0),1)</f>
        <v>% of AOI in each burn severity class for wildfires for each year for 1984-2018</v>
      </c>
      <c r="G166" s="38" t="s">
        <v>469</v>
      </c>
      <c r="H166" s="29" t="s">
        <v>103</v>
      </c>
      <c r="I166" s="29" t="s">
        <v>380</v>
      </c>
      <c r="J166" s="29" t="s">
        <v>470</v>
      </c>
      <c r="K166" s="57" t="s">
        <v>72</v>
      </c>
      <c r="L166" s="30" t="str">
        <f>IF(RIGHT(K166,2)="WS", LEFT(K166,LEN(K166)-2),K166)</f>
        <v>PCTMODSEV2002</v>
      </c>
      <c r="M166" s="30" t="str">
        <f>INDEX(Active!J:J, MATCH(Spearmans2!L166, Active!F:F,0),1)</f>
        <v>Percent Moderate Burn Severity Class For Year</v>
      </c>
      <c r="N166" s="30" t="str">
        <f>INDEX(Active!B:B, MATCH(Spearmans2!L166, Active!F:F,0),1)</f>
        <v>Natural</v>
      </c>
      <c r="O166" s="30" t="str">
        <f>INDEX(Active!K:K, MATCH(Spearmans2!L166, Active!F:F,0),1)</f>
        <v>% of AOI in each burn severity class for wildfires for each year for 1984-2018</v>
      </c>
      <c r="P166" s="53" t="s">
        <v>500</v>
      </c>
      <c r="Q166" s="30" t="s">
        <v>103</v>
      </c>
      <c r="R166" s="30" t="s">
        <v>470</v>
      </c>
      <c r="S166" s="31">
        <v>0.9339648044848885</v>
      </c>
    </row>
    <row r="167" spans="1:19" s="19" customFormat="1" x14ac:dyDescent="0.3">
      <c r="A167" s="37" t="s">
        <v>62</v>
      </c>
      <c r="B167" s="25" t="str">
        <f>IF(RIGHT(A167,2)="WS", LEFT(A167,LEN(A167)-2),A167)</f>
        <v>PCTIMP2001</v>
      </c>
      <c r="C167" s="25" t="str">
        <f>INDEX(Active!J:J, MATCH(Spearmans2!B167, Active!F:F,0),1)</f>
        <v>Mean Imperviousness</v>
      </c>
      <c r="D167" s="25" t="str">
        <f>INDEX(Active!B:B, MATCH(Spearmans2!B167, Active!F:F,0),1)</f>
        <v>Anthropogenic</v>
      </c>
      <c r="E167" s="25" t="str">
        <f>INDEX(Active!D:D, MATCH(Spearmans2!B167, Active!F:F,0),1)</f>
        <v>Urban</v>
      </c>
      <c r="F167" s="25" t="str">
        <f>INDEX(Active!K:K, MATCH(Spearmans2!B167, Active!F:F,0),1)</f>
        <v>Mean imperviousness of anthropogenic surfaces within AOI  (NLCD)</v>
      </c>
      <c r="G167" s="37" t="s">
        <v>481</v>
      </c>
      <c r="H167" s="25" t="s">
        <v>92</v>
      </c>
      <c r="I167" s="25" t="s">
        <v>232</v>
      </c>
      <c r="J167" s="25" t="s">
        <v>482</v>
      </c>
      <c r="K167" s="55" t="s">
        <v>63</v>
      </c>
      <c r="L167" s="26" t="str">
        <f>IF(RIGHT(K167,2)="WS", LEFT(K167,LEN(K167)-2),K167)</f>
        <v>PCTIMPSLPHIGH2001</v>
      </c>
      <c r="M167" s="26" t="str">
        <f>INDEX(Active!J:J, MATCH(Spearmans2!L167, Active!F:F,0),1)</f>
        <v>Percent Imperviousness on 20% Slope</v>
      </c>
      <c r="N167" s="26" t="str">
        <f>INDEX(Active!B:B, MATCH(Spearmans2!L167, Active!F:F,0),1)</f>
        <v>Anthropogenic</v>
      </c>
      <c r="O167" s="26" t="str">
        <f>INDEX(Active!K:K, MATCH(Spearmans2!L167, Active!F:F,0),1)</f>
        <v>Percent of AOI area classified as impervious occuring on slpes &gt; 20%</v>
      </c>
      <c r="P167" s="52" t="s">
        <v>486</v>
      </c>
      <c r="Q167" s="26" t="s">
        <v>92</v>
      </c>
      <c r="R167" s="26" t="s">
        <v>487</v>
      </c>
      <c r="S167" s="27">
        <v>0.82139591817620206</v>
      </c>
    </row>
    <row r="168" spans="1:19" s="21" customFormat="1" x14ac:dyDescent="0.3">
      <c r="A168" s="38" t="s">
        <v>62</v>
      </c>
      <c r="B168" s="29" t="str">
        <f>IF(RIGHT(A168,2)="WS", LEFT(A168,LEN(A168)-2),A168)</f>
        <v>PCTIMP2001</v>
      </c>
      <c r="C168" s="29" t="str">
        <f>INDEX(Active!J:J, MATCH(Spearmans2!B168, Active!F:F,0),1)</f>
        <v>Mean Imperviousness</v>
      </c>
      <c r="D168" s="29" t="str">
        <f>INDEX(Active!B:B, MATCH(Spearmans2!B168, Active!F:F,0),1)</f>
        <v>Anthropogenic</v>
      </c>
      <c r="E168" s="29" t="str">
        <f>INDEX(Active!D:D, MATCH(Spearmans2!B168, Active!F:F,0),1)</f>
        <v>Urban</v>
      </c>
      <c r="F168" s="29" t="str">
        <f>INDEX(Active!K:K, MATCH(Spearmans2!B168, Active!F:F,0),1)</f>
        <v>Mean imperviousness of anthropogenic surfaces within AOI  (NLCD)</v>
      </c>
      <c r="G168" s="38" t="s">
        <v>481</v>
      </c>
      <c r="H168" s="29" t="s">
        <v>92</v>
      </c>
      <c r="I168" s="29" t="s">
        <v>232</v>
      </c>
      <c r="J168" s="29" t="s">
        <v>482</v>
      </c>
      <c r="K168" s="57" t="s">
        <v>64</v>
      </c>
      <c r="L168" s="30" t="str">
        <f>IF(RIGHT(K168,2)="WS", LEFT(K168,LEN(K168)-2),K168)</f>
        <v>PCTIMPSLPMID2001</v>
      </c>
      <c r="M168" s="30" t="str">
        <f>INDEX(Active!J:J, MATCH(Spearmans2!L168, Active!F:F,0),1)</f>
        <v>Percent Imperviousness on 10% Slope</v>
      </c>
      <c r="N168" s="30" t="str">
        <f>INDEX(Active!B:B, MATCH(Spearmans2!L168, Active!F:F,0),1)</f>
        <v>Anthropogenic</v>
      </c>
      <c r="O168" s="30" t="str">
        <f>INDEX(Active!K:K, MATCH(Spearmans2!L168, Active!F:F,0),1)</f>
        <v>Percent of AOI area classified as impervious occuring on slpes &gt; 10%</v>
      </c>
      <c r="P168" s="53" t="s">
        <v>490</v>
      </c>
      <c r="Q168" s="30" t="s">
        <v>92</v>
      </c>
      <c r="R168" s="30" t="s">
        <v>491</v>
      </c>
      <c r="S168" s="31">
        <v>0.94473729955539976</v>
      </c>
    </row>
    <row r="169" spans="1:19" s="19" customFormat="1" x14ac:dyDescent="0.3">
      <c r="A169" s="37" t="s">
        <v>63</v>
      </c>
      <c r="B169" s="25" t="str">
        <f>IF(RIGHT(A169,2)="WS", LEFT(A169,LEN(A169)-2),A169)</f>
        <v>PCTIMPSLPHIGH2001</v>
      </c>
      <c r="C169" s="25" t="str">
        <f>INDEX(Active!J:J, MATCH(Spearmans2!B169, Active!F:F,0),1)</f>
        <v>Percent Imperviousness on 20% Slope</v>
      </c>
      <c r="D169" s="25" t="str">
        <f>INDEX(Active!B:B, MATCH(Spearmans2!B169, Active!F:F,0),1)</f>
        <v>Anthropogenic</v>
      </c>
      <c r="E169" s="25" t="str">
        <f>INDEX(Active!D:D, MATCH(Spearmans2!B169, Active!F:F,0),1)</f>
        <v>Urban</v>
      </c>
      <c r="F169" s="25" t="str">
        <f>INDEX(Active!K:K, MATCH(Spearmans2!B169, Active!F:F,0),1)</f>
        <v>Percent of AOI area classified as impervious occuring on slpes &gt; 20%</v>
      </c>
      <c r="G169" s="37" t="s">
        <v>486</v>
      </c>
      <c r="H169" s="25" t="s">
        <v>92</v>
      </c>
      <c r="I169" s="25" t="s">
        <v>232</v>
      </c>
      <c r="J169" s="25" t="s">
        <v>487</v>
      </c>
      <c r="K169" s="55" t="s">
        <v>62</v>
      </c>
      <c r="L169" s="26" t="str">
        <f>IF(RIGHT(K169,2)="WS", LEFT(K169,LEN(K169)-2),K169)</f>
        <v>PCTIMP2001</v>
      </c>
      <c r="M169" s="26" t="str">
        <f>INDEX(Active!J:J, MATCH(Spearmans2!L169, Active!F:F,0),1)</f>
        <v>Mean Imperviousness</v>
      </c>
      <c r="N169" s="26" t="str">
        <f>INDEX(Active!B:B, MATCH(Spearmans2!L169, Active!F:F,0),1)</f>
        <v>Anthropogenic</v>
      </c>
      <c r="O169" s="26" t="str">
        <f>INDEX(Active!K:K, MATCH(Spearmans2!L169, Active!F:F,0),1)</f>
        <v>Mean imperviousness of anthropogenic surfaces within AOI  (NLCD)</v>
      </c>
      <c r="P169" s="52" t="s">
        <v>481</v>
      </c>
      <c r="Q169" s="26" t="s">
        <v>92</v>
      </c>
      <c r="R169" s="26" t="s">
        <v>482</v>
      </c>
      <c r="S169" s="27">
        <v>0.82139591817620206</v>
      </c>
    </row>
    <row r="170" spans="1:19" s="21" customFormat="1" x14ac:dyDescent="0.3">
      <c r="A170" s="38" t="s">
        <v>63</v>
      </c>
      <c r="B170" s="29" t="str">
        <f>IF(RIGHT(A170,2)="WS", LEFT(A170,LEN(A170)-2),A170)</f>
        <v>PCTIMPSLPHIGH2001</v>
      </c>
      <c r="C170" s="29" t="str">
        <f>INDEX(Active!J:J, MATCH(Spearmans2!B170, Active!F:F,0),1)</f>
        <v>Percent Imperviousness on 20% Slope</v>
      </c>
      <c r="D170" s="29" t="str">
        <f>INDEX(Active!B:B, MATCH(Spearmans2!B170, Active!F:F,0),1)</f>
        <v>Anthropogenic</v>
      </c>
      <c r="E170" s="29" t="str">
        <f>INDEX(Active!D:D, MATCH(Spearmans2!B170, Active!F:F,0),1)</f>
        <v>Urban</v>
      </c>
      <c r="F170" s="29" t="str">
        <f>INDEX(Active!K:K, MATCH(Spearmans2!B170, Active!F:F,0),1)</f>
        <v>Percent of AOI area classified as impervious occuring on slpes &gt; 20%</v>
      </c>
      <c r="G170" s="38" t="s">
        <v>486</v>
      </c>
      <c r="H170" s="29" t="s">
        <v>92</v>
      </c>
      <c r="I170" s="29" t="s">
        <v>232</v>
      </c>
      <c r="J170" s="29" t="s">
        <v>487</v>
      </c>
      <c r="K170" s="57" t="s">
        <v>64</v>
      </c>
      <c r="L170" s="30" t="str">
        <f>IF(RIGHT(K170,2)="WS", LEFT(K170,LEN(K170)-2),K170)</f>
        <v>PCTIMPSLPMID2001</v>
      </c>
      <c r="M170" s="30" t="str">
        <f>INDEX(Active!J:J, MATCH(Spearmans2!L170, Active!F:F,0),1)</f>
        <v>Percent Imperviousness on 10% Slope</v>
      </c>
      <c r="N170" s="30" t="str">
        <f>INDEX(Active!B:B, MATCH(Spearmans2!L170, Active!F:F,0),1)</f>
        <v>Anthropogenic</v>
      </c>
      <c r="O170" s="30" t="str">
        <f>INDEX(Active!K:K, MATCH(Spearmans2!L170, Active!F:F,0),1)</f>
        <v>Percent of AOI area classified as impervious occuring on slpes &gt; 10%</v>
      </c>
      <c r="P170" s="53" t="s">
        <v>490</v>
      </c>
      <c r="Q170" s="30" t="s">
        <v>92</v>
      </c>
      <c r="R170" s="30" t="s">
        <v>491</v>
      </c>
      <c r="S170" s="31">
        <v>0.91786275436629539</v>
      </c>
    </row>
    <row r="171" spans="1:19" s="19" customFormat="1" x14ac:dyDescent="0.3">
      <c r="A171" s="37" t="s">
        <v>64</v>
      </c>
      <c r="B171" s="25" t="str">
        <f>IF(RIGHT(A171,2)="WS", LEFT(A171,LEN(A171)-2),A171)</f>
        <v>PCTIMPSLPMID2001</v>
      </c>
      <c r="C171" s="25" t="str">
        <f>INDEX(Active!J:J, MATCH(Spearmans2!B171, Active!F:F,0),1)</f>
        <v>Percent Imperviousness on 10% Slope</v>
      </c>
      <c r="D171" s="25" t="str">
        <f>INDEX(Active!B:B, MATCH(Spearmans2!B171, Active!F:F,0),1)</f>
        <v>Anthropogenic</v>
      </c>
      <c r="E171" s="25" t="str">
        <f>INDEX(Active!D:D, MATCH(Spearmans2!B171, Active!F:F,0),1)</f>
        <v>Urban</v>
      </c>
      <c r="F171" s="25" t="str">
        <f>INDEX(Active!K:K, MATCH(Spearmans2!B171, Active!F:F,0),1)</f>
        <v>Percent of AOI area classified as impervious occuring on slpes &gt; 10%</v>
      </c>
      <c r="G171" s="37" t="s">
        <v>490</v>
      </c>
      <c r="H171" s="25" t="s">
        <v>92</v>
      </c>
      <c r="I171" s="25" t="s">
        <v>232</v>
      </c>
      <c r="J171" s="25" t="s">
        <v>491</v>
      </c>
      <c r="K171" s="55" t="s">
        <v>63</v>
      </c>
      <c r="L171" s="26" t="str">
        <f>IF(RIGHT(K171,2)="WS", LEFT(K171,LEN(K171)-2),K171)</f>
        <v>PCTIMPSLPHIGH2001</v>
      </c>
      <c r="M171" s="26" t="str">
        <f>INDEX(Active!J:J, MATCH(Spearmans2!L171, Active!F:F,0),1)</f>
        <v>Percent Imperviousness on 20% Slope</v>
      </c>
      <c r="N171" s="26" t="str">
        <f>INDEX(Active!B:B, MATCH(Spearmans2!L171, Active!F:F,0),1)</f>
        <v>Anthropogenic</v>
      </c>
      <c r="O171" s="26" t="str">
        <f>INDEX(Active!K:K, MATCH(Spearmans2!L171, Active!F:F,0),1)</f>
        <v>Percent of AOI area classified as impervious occuring on slpes &gt; 20%</v>
      </c>
      <c r="P171" s="52" t="s">
        <v>486</v>
      </c>
      <c r="Q171" s="26" t="s">
        <v>92</v>
      </c>
      <c r="R171" s="26" t="s">
        <v>487</v>
      </c>
      <c r="S171" s="27">
        <v>0.91786275436629539</v>
      </c>
    </row>
    <row r="172" spans="1:19" s="21" customFormat="1" x14ac:dyDescent="0.3">
      <c r="A172" s="38" t="s">
        <v>64</v>
      </c>
      <c r="B172" s="29" t="str">
        <f>IF(RIGHT(A172,2)="WS", LEFT(A172,LEN(A172)-2),A172)</f>
        <v>PCTIMPSLPMID2001</v>
      </c>
      <c r="C172" s="29" t="str">
        <f>INDEX(Active!J:J, MATCH(Spearmans2!B172, Active!F:F,0),1)</f>
        <v>Percent Imperviousness on 10% Slope</v>
      </c>
      <c r="D172" s="29" t="str">
        <f>INDEX(Active!B:B, MATCH(Spearmans2!B172, Active!F:F,0),1)</f>
        <v>Anthropogenic</v>
      </c>
      <c r="E172" s="29" t="str">
        <f>INDEX(Active!D:D, MATCH(Spearmans2!B172, Active!F:F,0),1)</f>
        <v>Urban</v>
      </c>
      <c r="F172" s="29" t="str">
        <f>INDEX(Active!K:K, MATCH(Spearmans2!B172, Active!F:F,0),1)</f>
        <v>Percent of AOI area classified as impervious occuring on slpes &gt; 10%</v>
      </c>
      <c r="G172" s="38" t="s">
        <v>490</v>
      </c>
      <c r="H172" s="29" t="s">
        <v>92</v>
      </c>
      <c r="I172" s="29" t="s">
        <v>232</v>
      </c>
      <c r="J172" s="29" t="s">
        <v>491</v>
      </c>
      <c r="K172" s="57" t="s">
        <v>62</v>
      </c>
      <c r="L172" s="30" t="str">
        <f>IF(RIGHT(K172,2)="WS", LEFT(K172,LEN(K172)-2),K172)</f>
        <v>PCTIMP2001</v>
      </c>
      <c r="M172" s="30" t="str">
        <f>INDEX(Active!J:J, MATCH(Spearmans2!L172, Active!F:F,0),1)</f>
        <v>Mean Imperviousness</v>
      </c>
      <c r="N172" s="30" t="str">
        <f>INDEX(Active!B:B, MATCH(Spearmans2!L172, Active!F:F,0),1)</f>
        <v>Anthropogenic</v>
      </c>
      <c r="O172" s="30" t="str">
        <f>INDEX(Active!K:K, MATCH(Spearmans2!L172, Active!F:F,0),1)</f>
        <v>Mean imperviousness of anthropogenic surfaces within AOI  (NLCD)</v>
      </c>
      <c r="P172" s="53" t="s">
        <v>481</v>
      </c>
      <c r="Q172" s="30" t="s">
        <v>92</v>
      </c>
      <c r="R172" s="30" t="s">
        <v>482</v>
      </c>
      <c r="S172" s="31">
        <v>0.94473729955539976</v>
      </c>
    </row>
    <row r="173" spans="1:19" s="19" customFormat="1" x14ac:dyDescent="0.3">
      <c r="A173" s="37" t="s">
        <v>71</v>
      </c>
      <c r="B173" s="25" t="str">
        <f>IF(RIGHT(A173,2)="WS", LEFT(A173,LEN(A173)-2),A173)</f>
        <v>PCTLOWSEV2002</v>
      </c>
      <c r="C173" s="25" t="str">
        <f>INDEX(Active!J:J, MATCH(Spearmans2!B173, Active!F:F,0),1)</f>
        <v>Percent Low Burn Severity Class For Year</v>
      </c>
      <c r="D173" s="25" t="str">
        <f>INDEX(Active!B:B, MATCH(Spearmans2!B173, Active!F:F,0),1)</f>
        <v>Natural</v>
      </c>
      <c r="E173" s="25" t="str">
        <f>INDEX(Active!D:D, MATCH(Spearmans2!B173, Active!F:F,0),1)</f>
        <v>Wildfire</v>
      </c>
      <c r="F173" s="25" t="str">
        <f>INDEX(Active!K:K, MATCH(Spearmans2!B173, Active!F:F,0),1)</f>
        <v>% of AOI in each burn severity class for wildfires for each year for 1984-2018</v>
      </c>
      <c r="G173" s="37" t="s">
        <v>497</v>
      </c>
      <c r="H173" s="25" t="s">
        <v>103</v>
      </c>
      <c r="I173" s="25" t="s">
        <v>380</v>
      </c>
      <c r="J173" s="25" t="s">
        <v>470</v>
      </c>
      <c r="K173" s="55" t="s">
        <v>74</v>
      </c>
      <c r="L173" s="26" t="str">
        <f>IF(RIGHT(K173,2)="WS", LEFT(K173,LEN(K173)-2),K173)</f>
        <v>PCTFIRE2002</v>
      </c>
      <c r="M173" s="26" t="str">
        <f>INDEX(Active!J:J, MATCH(Spearmans2!L173, Active!F:F,0),1)</f>
        <v>Forest Fire Loss</v>
      </c>
      <c r="N173" s="26" t="str">
        <f>INDEX(Active!B:B, MATCH(Spearmans2!L173, Active!F:F,0),1)</f>
        <v>Natural</v>
      </c>
      <c r="O173" s="26" t="str">
        <f>INDEX(Active!K:K, MATCH(Spearmans2!L173, Active!F:F,0),1)</f>
        <v>% Forest loss to fire (fire perimeter) within AOI</v>
      </c>
      <c r="P173" s="52" t="s">
        <v>426</v>
      </c>
      <c r="Q173" s="26" t="s">
        <v>103</v>
      </c>
      <c r="R173" s="26" t="s">
        <v>427</v>
      </c>
      <c r="S173" s="27">
        <v>0.86558004334406358</v>
      </c>
    </row>
    <row r="174" spans="1:19" s="20" customFormat="1" x14ac:dyDescent="0.3">
      <c r="A174" s="33" t="s">
        <v>71</v>
      </c>
      <c r="B174" s="23" t="str">
        <f>IF(RIGHT(A174,2)="WS", LEFT(A174,LEN(A174)-2),A174)</f>
        <v>PCTLOWSEV2002</v>
      </c>
      <c r="C174" s="23" t="str">
        <f>INDEX(Active!J:J, MATCH(Spearmans2!B174, Active!F:F,0),1)</f>
        <v>Percent Low Burn Severity Class For Year</v>
      </c>
      <c r="D174" s="23" t="str">
        <f>INDEX(Active!B:B, MATCH(Spearmans2!B174, Active!F:F,0),1)</f>
        <v>Natural</v>
      </c>
      <c r="E174" s="23" t="str">
        <f>INDEX(Active!D:D, MATCH(Spearmans2!B174, Active!F:F,0),1)</f>
        <v>Wildfire</v>
      </c>
      <c r="F174" s="23" t="str">
        <f>INDEX(Active!K:K, MATCH(Spearmans2!B174, Active!F:F,0),1)</f>
        <v>% of AOI in each burn severity class for wildfires for each year for 1984-2018</v>
      </c>
      <c r="G174" s="33" t="s">
        <v>497</v>
      </c>
      <c r="H174" s="23" t="s">
        <v>103</v>
      </c>
      <c r="I174" s="23" t="s">
        <v>380</v>
      </c>
      <c r="J174" s="23" t="s">
        <v>470</v>
      </c>
      <c r="K174" s="56" t="s">
        <v>73</v>
      </c>
      <c r="L174" s="24" t="str">
        <f>IF(RIGHT(K174,2)="WS", LEFT(K174,LEN(K174)-2),K174)</f>
        <v>PCTHIGHSEV2002</v>
      </c>
      <c r="M174" s="24" t="str">
        <f>INDEX(Active!J:J, MATCH(Spearmans2!L174, Active!F:F,0),1)</f>
        <v>Percent High Burn Severity Class For Year</v>
      </c>
      <c r="N174" s="24" t="str">
        <f>INDEX(Active!B:B, MATCH(Spearmans2!L174, Active!F:F,0),1)</f>
        <v>Natural</v>
      </c>
      <c r="O174" s="24" t="str">
        <f>INDEX(Active!K:K, MATCH(Spearmans2!L174, Active!F:F,0),1)</f>
        <v>% of AOI in each burn severity class for wildfires for each year for 1984-2018</v>
      </c>
      <c r="P174" s="34" t="s">
        <v>469</v>
      </c>
      <c r="Q174" s="24" t="s">
        <v>103</v>
      </c>
      <c r="R174" s="24" t="s">
        <v>470</v>
      </c>
      <c r="S174" s="28">
        <v>0.87742974322638534</v>
      </c>
    </row>
    <row r="175" spans="1:19" s="20" customFormat="1" x14ac:dyDescent="0.3">
      <c r="A175" s="33" t="s">
        <v>71</v>
      </c>
      <c r="B175" s="23" t="str">
        <f>IF(RIGHT(A175,2)="WS", LEFT(A175,LEN(A175)-2),A175)</f>
        <v>PCTLOWSEV2002</v>
      </c>
      <c r="C175" s="23" t="str">
        <f>INDEX(Active!J:J, MATCH(Spearmans2!B175, Active!F:F,0),1)</f>
        <v>Percent Low Burn Severity Class For Year</v>
      </c>
      <c r="D175" s="23" t="str">
        <f>INDEX(Active!B:B, MATCH(Spearmans2!B175, Active!F:F,0),1)</f>
        <v>Natural</v>
      </c>
      <c r="E175" s="23" t="str">
        <f>INDEX(Active!D:D, MATCH(Spearmans2!B175, Active!F:F,0),1)</f>
        <v>Wildfire</v>
      </c>
      <c r="F175" s="23" t="str">
        <f>INDEX(Active!K:K, MATCH(Spearmans2!B175, Active!F:F,0),1)</f>
        <v>% of AOI in each burn severity class for wildfires for each year for 1984-2018</v>
      </c>
      <c r="G175" s="33" t="s">
        <v>497</v>
      </c>
      <c r="H175" s="23" t="s">
        <v>103</v>
      </c>
      <c r="I175" s="23" t="s">
        <v>380</v>
      </c>
      <c r="J175" s="23" t="s">
        <v>470</v>
      </c>
      <c r="K175" s="56" t="s">
        <v>72</v>
      </c>
      <c r="L175" s="24" t="str">
        <f>IF(RIGHT(K175,2)="WS", LEFT(K175,LEN(K175)-2),K175)</f>
        <v>PCTMODSEV2002</v>
      </c>
      <c r="M175" s="24" t="str">
        <f>INDEX(Active!J:J, MATCH(Spearmans2!L175, Active!F:F,0),1)</f>
        <v>Percent Moderate Burn Severity Class For Year</v>
      </c>
      <c r="N175" s="24" t="str">
        <f>INDEX(Active!B:B, MATCH(Spearmans2!L175, Active!F:F,0),1)</f>
        <v>Natural</v>
      </c>
      <c r="O175" s="24" t="str">
        <f>INDEX(Active!K:K, MATCH(Spearmans2!L175, Active!F:F,0),1)</f>
        <v>% of AOI in each burn severity class for wildfires for each year for 1984-2018</v>
      </c>
      <c r="P175" s="34" t="s">
        <v>500</v>
      </c>
      <c r="Q175" s="24" t="s">
        <v>103</v>
      </c>
      <c r="R175" s="24" t="s">
        <v>470</v>
      </c>
      <c r="S175" s="28">
        <v>0.93907831694139787</v>
      </c>
    </row>
    <row r="176" spans="1:19" s="20" customFormat="1" x14ac:dyDescent="0.3">
      <c r="A176" s="33" t="s">
        <v>71</v>
      </c>
      <c r="B176" s="23" t="str">
        <f>IF(RIGHT(A176,2)="WS", LEFT(A176,LEN(A176)-2),A176)</f>
        <v>PCTLOWSEV2002</v>
      </c>
      <c r="C176" s="23" t="str">
        <f>INDEX(Active!J:J, MATCH(Spearmans2!B176, Active!F:F,0),1)</f>
        <v>Percent Low Burn Severity Class For Year</v>
      </c>
      <c r="D176" s="23" t="str">
        <f>INDEX(Active!B:B, MATCH(Spearmans2!B176, Active!F:F,0),1)</f>
        <v>Natural</v>
      </c>
      <c r="E176" s="23" t="str">
        <f>INDEX(Active!D:D, MATCH(Spearmans2!B176, Active!F:F,0),1)</f>
        <v>Wildfire</v>
      </c>
      <c r="F176" s="23" t="str">
        <f>INDEX(Active!K:K, MATCH(Spearmans2!B176, Active!F:F,0),1)</f>
        <v>% of AOI in each burn severity class for wildfires for each year for 1984-2018</v>
      </c>
      <c r="G176" s="33" t="s">
        <v>497</v>
      </c>
      <c r="H176" s="23" t="s">
        <v>103</v>
      </c>
      <c r="I176" s="23" t="s">
        <v>380</v>
      </c>
      <c r="J176" s="23" t="s">
        <v>470</v>
      </c>
      <c r="K176" s="56" t="s">
        <v>70</v>
      </c>
      <c r="L176" s="24" t="str">
        <f>IF(RIGHT(K176,2)="WS", LEFT(K176,LEN(K176)-2),K176)</f>
        <v>PCTUNDSEV2002</v>
      </c>
      <c r="M176" s="24" t="str">
        <f>INDEX(Active!J:J, MATCH(Spearmans2!L176, Active!F:F,0),1)</f>
        <v>Percent Underburned to Low Burn Severity Class For Year</v>
      </c>
      <c r="N176" s="24" t="str">
        <f>INDEX(Active!B:B, MATCH(Spearmans2!L176, Active!F:F,0),1)</f>
        <v>Natural</v>
      </c>
      <c r="O176" s="24" t="str">
        <f>INDEX(Active!K:K, MATCH(Spearmans2!L176, Active!F:F,0),1)</f>
        <v>% of AOI in each burn severity class for wildfires for each year for 1984-2018</v>
      </c>
      <c r="P176" s="34" t="s">
        <v>536</v>
      </c>
      <c r="Q176" s="24" t="s">
        <v>103</v>
      </c>
      <c r="R176" s="24" t="s">
        <v>470</v>
      </c>
      <c r="S176" s="28">
        <v>0.99061114776769621</v>
      </c>
    </row>
    <row r="177" spans="1:19" s="21" customFormat="1" x14ac:dyDescent="0.3">
      <c r="A177" s="38" t="s">
        <v>71</v>
      </c>
      <c r="B177" s="29" t="str">
        <f>IF(RIGHT(A177,2)="WS", LEFT(A177,LEN(A177)-2),A177)</f>
        <v>PCTLOWSEV2002</v>
      </c>
      <c r="C177" s="29" t="str">
        <f>INDEX(Active!J:J, MATCH(Spearmans2!B177, Active!F:F,0),1)</f>
        <v>Percent Low Burn Severity Class For Year</v>
      </c>
      <c r="D177" s="29" t="str">
        <f>INDEX(Active!B:B, MATCH(Spearmans2!B177, Active!F:F,0),1)</f>
        <v>Natural</v>
      </c>
      <c r="E177" s="29" t="str">
        <f>INDEX(Active!D:D, MATCH(Spearmans2!B177, Active!F:F,0),1)</f>
        <v>Wildfire</v>
      </c>
      <c r="F177" s="29" t="str">
        <f>INDEX(Active!K:K, MATCH(Spearmans2!B177, Active!F:F,0),1)</f>
        <v>% of AOI in each burn severity class for wildfires for each year for 1984-2018</v>
      </c>
      <c r="G177" s="38" t="s">
        <v>497</v>
      </c>
      <c r="H177" s="29" t="s">
        <v>103</v>
      </c>
      <c r="I177" s="29" t="s">
        <v>380</v>
      </c>
      <c r="J177" s="29" t="s">
        <v>470</v>
      </c>
      <c r="K177" s="57" t="s">
        <v>69</v>
      </c>
      <c r="L177" s="30" t="str">
        <f>IF(RIGHT(K177,2)="WS", LEFT(K177,LEN(K177)-2),K177)</f>
        <v>PCTBURNAREA2002</v>
      </c>
      <c r="M177" s="30" t="str">
        <f>INDEX(Active!J:J, MATCH(Spearmans2!L177, Active!F:F,0),1)</f>
        <v>Wildfire Burn Percent 1984-2018</v>
      </c>
      <c r="N177" s="30" t="str">
        <f>INDEX(Active!B:B, MATCH(Spearmans2!L177, Active!F:F,0),1)</f>
        <v>Natural</v>
      </c>
      <c r="O177" s="30" t="str">
        <f>INDEX(Active!K:K, MATCH(Spearmans2!L177, Active!F:F,0),1)</f>
        <v>Mean % of AOI burned from wildfires for each year for 1984-2018</v>
      </c>
      <c r="P177" s="53" t="s">
        <v>384</v>
      </c>
      <c r="Q177" s="30" t="s">
        <v>103</v>
      </c>
      <c r="R177" s="30" t="s">
        <v>385</v>
      </c>
      <c r="S177" s="31">
        <v>0.9907828241407215</v>
      </c>
    </row>
    <row r="178" spans="1:19" s="19" customFormat="1" x14ac:dyDescent="0.3">
      <c r="A178" s="37" t="s">
        <v>72</v>
      </c>
      <c r="B178" s="25" t="str">
        <f>IF(RIGHT(A178,2)="WS", LEFT(A178,LEN(A178)-2),A178)</f>
        <v>PCTMODSEV2002</v>
      </c>
      <c r="C178" s="25" t="str">
        <f>INDEX(Active!J:J, MATCH(Spearmans2!B178, Active!F:F,0),1)</f>
        <v>Percent Moderate Burn Severity Class For Year</v>
      </c>
      <c r="D178" s="25" t="str">
        <f>INDEX(Active!B:B, MATCH(Spearmans2!B178, Active!F:F,0),1)</f>
        <v>Natural</v>
      </c>
      <c r="E178" s="25" t="str">
        <f>INDEX(Active!D:D, MATCH(Spearmans2!B178, Active!F:F,0),1)</f>
        <v>Wildfire</v>
      </c>
      <c r="F178" s="25" t="str">
        <f>INDEX(Active!K:K, MATCH(Spearmans2!B178, Active!F:F,0),1)</f>
        <v>% of AOI in each burn severity class for wildfires for each year for 1984-2018</v>
      </c>
      <c r="G178" s="37" t="s">
        <v>500</v>
      </c>
      <c r="H178" s="25" t="s">
        <v>103</v>
      </c>
      <c r="I178" s="25" t="s">
        <v>380</v>
      </c>
      <c r="J178" s="25" t="s">
        <v>470</v>
      </c>
      <c r="K178" s="55" t="s">
        <v>74</v>
      </c>
      <c r="L178" s="26" t="str">
        <f>IF(RIGHT(K178,2)="WS", LEFT(K178,LEN(K178)-2),K178)</f>
        <v>PCTFIRE2002</v>
      </c>
      <c r="M178" s="26" t="str">
        <f>INDEX(Active!J:J, MATCH(Spearmans2!L178, Active!F:F,0),1)</f>
        <v>Forest Fire Loss</v>
      </c>
      <c r="N178" s="26" t="str">
        <f>INDEX(Active!B:B, MATCH(Spearmans2!L178, Active!F:F,0),1)</f>
        <v>Natural</v>
      </c>
      <c r="O178" s="26" t="str">
        <f>INDEX(Active!K:K, MATCH(Spearmans2!L178, Active!F:F,0),1)</f>
        <v>% Forest loss to fire (fire perimeter) within AOI</v>
      </c>
      <c r="P178" s="52" t="s">
        <v>426</v>
      </c>
      <c r="Q178" s="26" t="s">
        <v>103</v>
      </c>
      <c r="R178" s="26" t="s">
        <v>427</v>
      </c>
      <c r="S178" s="27">
        <v>0.87927044021948175</v>
      </c>
    </row>
    <row r="179" spans="1:19" s="20" customFormat="1" x14ac:dyDescent="0.3">
      <c r="A179" s="33" t="s">
        <v>72</v>
      </c>
      <c r="B179" s="23" t="str">
        <f>IF(RIGHT(A179,2)="WS", LEFT(A179,LEN(A179)-2),A179)</f>
        <v>PCTMODSEV2002</v>
      </c>
      <c r="C179" s="23" t="str">
        <f>INDEX(Active!J:J, MATCH(Spearmans2!B179, Active!F:F,0),1)</f>
        <v>Percent Moderate Burn Severity Class For Year</v>
      </c>
      <c r="D179" s="23" t="str">
        <f>INDEX(Active!B:B, MATCH(Spearmans2!B179, Active!F:F,0),1)</f>
        <v>Natural</v>
      </c>
      <c r="E179" s="23" t="str">
        <f>INDEX(Active!D:D, MATCH(Spearmans2!B179, Active!F:F,0),1)</f>
        <v>Wildfire</v>
      </c>
      <c r="F179" s="23" t="str">
        <f>INDEX(Active!K:K, MATCH(Spearmans2!B179, Active!F:F,0),1)</f>
        <v>% of AOI in each burn severity class for wildfires for each year for 1984-2018</v>
      </c>
      <c r="G179" s="33" t="s">
        <v>500</v>
      </c>
      <c r="H179" s="23" t="s">
        <v>103</v>
      </c>
      <c r="I179" s="23" t="s">
        <v>380</v>
      </c>
      <c r="J179" s="23" t="s">
        <v>470</v>
      </c>
      <c r="K179" s="56" t="s">
        <v>69</v>
      </c>
      <c r="L179" s="24" t="str">
        <f>IF(RIGHT(K179,2)="WS", LEFT(K179,LEN(K179)-2),K179)</f>
        <v>PCTBURNAREA2002</v>
      </c>
      <c r="M179" s="24" t="str">
        <f>INDEX(Active!J:J, MATCH(Spearmans2!L179, Active!F:F,0),1)</f>
        <v>Wildfire Burn Percent 1984-2018</v>
      </c>
      <c r="N179" s="24" t="str">
        <f>INDEX(Active!B:B, MATCH(Spearmans2!L179, Active!F:F,0),1)</f>
        <v>Natural</v>
      </c>
      <c r="O179" s="24" t="str">
        <f>INDEX(Active!K:K, MATCH(Spearmans2!L179, Active!F:F,0),1)</f>
        <v>Mean % of AOI burned from wildfires for each year for 1984-2018</v>
      </c>
      <c r="P179" s="34" t="s">
        <v>384</v>
      </c>
      <c r="Q179" s="24" t="s">
        <v>103</v>
      </c>
      <c r="R179" s="24" t="s">
        <v>385</v>
      </c>
      <c r="S179" s="28">
        <v>0.93199004131626018</v>
      </c>
    </row>
    <row r="180" spans="1:19" s="20" customFormat="1" x14ac:dyDescent="0.3">
      <c r="A180" s="33" t="s">
        <v>72</v>
      </c>
      <c r="B180" s="23" t="str">
        <f>IF(RIGHT(A180,2)="WS", LEFT(A180,LEN(A180)-2),A180)</f>
        <v>PCTMODSEV2002</v>
      </c>
      <c r="C180" s="23" t="str">
        <f>INDEX(Active!J:J, MATCH(Spearmans2!B180, Active!F:F,0),1)</f>
        <v>Percent Moderate Burn Severity Class For Year</v>
      </c>
      <c r="D180" s="23" t="str">
        <f>INDEX(Active!B:B, MATCH(Spearmans2!B180, Active!F:F,0),1)</f>
        <v>Natural</v>
      </c>
      <c r="E180" s="23" t="str">
        <f>INDEX(Active!D:D, MATCH(Spearmans2!B180, Active!F:F,0),1)</f>
        <v>Wildfire</v>
      </c>
      <c r="F180" s="23" t="str">
        <f>INDEX(Active!K:K, MATCH(Spearmans2!B180, Active!F:F,0),1)</f>
        <v>% of AOI in each burn severity class for wildfires for each year for 1984-2018</v>
      </c>
      <c r="G180" s="33" t="s">
        <v>500</v>
      </c>
      <c r="H180" s="23" t="s">
        <v>103</v>
      </c>
      <c r="I180" s="23" t="s">
        <v>380</v>
      </c>
      <c r="J180" s="23" t="s">
        <v>470</v>
      </c>
      <c r="K180" s="56" t="s">
        <v>70</v>
      </c>
      <c r="L180" s="24" t="str">
        <f>IF(RIGHT(K180,2)="WS", LEFT(K180,LEN(K180)-2),K180)</f>
        <v>PCTUNDSEV2002</v>
      </c>
      <c r="M180" s="24" t="str">
        <f>INDEX(Active!J:J, MATCH(Spearmans2!L180, Active!F:F,0),1)</f>
        <v>Percent Underburned to Low Burn Severity Class For Year</v>
      </c>
      <c r="N180" s="24" t="str">
        <f>INDEX(Active!B:B, MATCH(Spearmans2!L180, Active!F:F,0),1)</f>
        <v>Natural</v>
      </c>
      <c r="O180" s="24" t="str">
        <f>INDEX(Active!K:K, MATCH(Spearmans2!L180, Active!F:F,0),1)</f>
        <v>% of AOI in each burn severity class for wildfires for each year for 1984-2018</v>
      </c>
      <c r="P180" s="34" t="s">
        <v>536</v>
      </c>
      <c r="Q180" s="24" t="s">
        <v>103</v>
      </c>
      <c r="R180" s="24" t="s">
        <v>470</v>
      </c>
      <c r="S180" s="28">
        <v>0.9321102720211224</v>
      </c>
    </row>
    <row r="181" spans="1:19" s="20" customFormat="1" x14ac:dyDescent="0.3">
      <c r="A181" s="33" t="s">
        <v>72</v>
      </c>
      <c r="B181" s="23" t="str">
        <f>IF(RIGHT(A181,2)="WS", LEFT(A181,LEN(A181)-2),A181)</f>
        <v>PCTMODSEV2002</v>
      </c>
      <c r="C181" s="23" t="str">
        <f>INDEX(Active!J:J, MATCH(Spearmans2!B181, Active!F:F,0),1)</f>
        <v>Percent Moderate Burn Severity Class For Year</v>
      </c>
      <c r="D181" s="23" t="str">
        <f>INDEX(Active!B:B, MATCH(Spearmans2!B181, Active!F:F,0),1)</f>
        <v>Natural</v>
      </c>
      <c r="E181" s="23" t="str">
        <f>INDEX(Active!D:D, MATCH(Spearmans2!B181, Active!F:F,0),1)</f>
        <v>Wildfire</v>
      </c>
      <c r="F181" s="23" t="str">
        <f>INDEX(Active!K:K, MATCH(Spearmans2!B181, Active!F:F,0),1)</f>
        <v>% of AOI in each burn severity class for wildfires for each year for 1984-2018</v>
      </c>
      <c r="G181" s="33" t="s">
        <v>500</v>
      </c>
      <c r="H181" s="23" t="s">
        <v>103</v>
      </c>
      <c r="I181" s="23" t="s">
        <v>380</v>
      </c>
      <c r="J181" s="23" t="s">
        <v>470</v>
      </c>
      <c r="K181" s="56" t="s">
        <v>73</v>
      </c>
      <c r="L181" s="24" t="str">
        <f>IF(RIGHT(K181,2)="WS", LEFT(K181,LEN(K181)-2),K181)</f>
        <v>PCTHIGHSEV2002</v>
      </c>
      <c r="M181" s="24" t="str">
        <f>INDEX(Active!J:J, MATCH(Spearmans2!L181, Active!F:F,0),1)</f>
        <v>Percent High Burn Severity Class For Year</v>
      </c>
      <c r="N181" s="24" t="str">
        <f>INDEX(Active!B:B, MATCH(Spearmans2!L181, Active!F:F,0),1)</f>
        <v>Natural</v>
      </c>
      <c r="O181" s="24" t="str">
        <f>INDEX(Active!K:K, MATCH(Spearmans2!L181, Active!F:F,0),1)</f>
        <v>% of AOI in each burn severity class for wildfires for each year for 1984-2018</v>
      </c>
      <c r="P181" s="34" t="s">
        <v>469</v>
      </c>
      <c r="Q181" s="24" t="s">
        <v>103</v>
      </c>
      <c r="R181" s="24" t="s">
        <v>470</v>
      </c>
      <c r="S181" s="28">
        <v>0.9339648044848885</v>
      </c>
    </row>
    <row r="182" spans="1:19" s="21" customFormat="1" x14ac:dyDescent="0.3">
      <c r="A182" s="38" t="s">
        <v>72</v>
      </c>
      <c r="B182" s="29" t="str">
        <f>IF(RIGHT(A182,2)="WS", LEFT(A182,LEN(A182)-2),A182)</f>
        <v>PCTMODSEV2002</v>
      </c>
      <c r="C182" s="29" t="str">
        <f>INDEX(Active!J:J, MATCH(Spearmans2!B182, Active!F:F,0),1)</f>
        <v>Percent Moderate Burn Severity Class For Year</v>
      </c>
      <c r="D182" s="29" t="str">
        <f>INDEX(Active!B:B, MATCH(Spearmans2!B182, Active!F:F,0),1)</f>
        <v>Natural</v>
      </c>
      <c r="E182" s="29" t="str">
        <f>INDEX(Active!D:D, MATCH(Spearmans2!B182, Active!F:F,0),1)</f>
        <v>Wildfire</v>
      </c>
      <c r="F182" s="29" t="str">
        <f>INDEX(Active!K:K, MATCH(Spearmans2!B182, Active!F:F,0),1)</f>
        <v>% of AOI in each burn severity class for wildfires for each year for 1984-2018</v>
      </c>
      <c r="G182" s="38" t="s">
        <v>500</v>
      </c>
      <c r="H182" s="29" t="s">
        <v>103</v>
      </c>
      <c r="I182" s="29" t="s">
        <v>380</v>
      </c>
      <c r="J182" s="29" t="s">
        <v>470</v>
      </c>
      <c r="K182" s="57" t="s">
        <v>71</v>
      </c>
      <c r="L182" s="30" t="str">
        <f>IF(RIGHT(K182,2)="WS", LEFT(K182,LEN(K182)-2),K182)</f>
        <v>PCTLOWSEV2002</v>
      </c>
      <c r="M182" s="30" t="str">
        <f>INDEX(Active!J:J, MATCH(Spearmans2!L182, Active!F:F,0),1)</f>
        <v>Percent Low Burn Severity Class For Year</v>
      </c>
      <c r="N182" s="30" t="str">
        <f>INDEX(Active!B:B, MATCH(Spearmans2!L182, Active!F:F,0),1)</f>
        <v>Natural</v>
      </c>
      <c r="O182" s="30" t="str">
        <f>INDEX(Active!K:K, MATCH(Spearmans2!L182, Active!F:F,0),1)</f>
        <v>% of AOI in each burn severity class for wildfires for each year for 1984-2018</v>
      </c>
      <c r="P182" s="53" t="s">
        <v>497</v>
      </c>
      <c r="Q182" s="30" t="s">
        <v>103</v>
      </c>
      <c r="R182" s="30" t="s">
        <v>470</v>
      </c>
      <c r="S182" s="31">
        <v>0.93907831694139787</v>
      </c>
    </row>
    <row r="183" spans="1:19" s="19" customFormat="1" x14ac:dyDescent="0.3">
      <c r="A183" s="37" t="s">
        <v>50</v>
      </c>
      <c r="B183" s="25" t="str">
        <f>IF(RIGHT(A183,2)="WS", LEFT(A183,LEN(A183)-2),A183)</f>
        <v>PCTMXFST2001</v>
      </c>
      <c r="C183" s="25" t="str">
        <f>INDEX(Active!J:J, MATCH(Spearmans2!B183, Active!F:F,0),1)</f>
        <v>Mixed Deciduous/Evergreen Forest Percentage</v>
      </c>
      <c r="D183" s="25" t="str">
        <f>INDEX(Active!B:B, MATCH(Spearmans2!B183, Active!F:F,0),1)</f>
        <v>Natural</v>
      </c>
      <c r="E183" s="25" t="str">
        <f>INDEX(Active!D:D, MATCH(Spearmans2!B183, Active!F:F,0),1)</f>
        <v>Land Cover</v>
      </c>
      <c r="F183" s="25" t="str">
        <f>INDEX(Active!K:K, MATCH(Spearmans2!B183, Active!F:F,0),1)</f>
        <v>% of AOI area classified as mixed deciduous/evergreen forest land cover (NLCD class 43)</v>
      </c>
      <c r="G183" s="37" t="s">
        <v>503</v>
      </c>
      <c r="H183" s="25" t="s">
        <v>103</v>
      </c>
      <c r="I183" s="25" t="s">
        <v>375</v>
      </c>
      <c r="J183" s="25" t="s">
        <v>504</v>
      </c>
      <c r="K183" s="55" t="s">
        <v>35</v>
      </c>
      <c r="L183" s="26" t="str">
        <f>IF(RIGHT(K183,2)="WS", LEFT(K183,LEN(K183)-2),K183)</f>
        <v>ELEV</v>
      </c>
      <c r="M183" s="26" t="str">
        <f>INDEX(Active!J:J, MATCH(Spearmans2!L183, Active!F:F,0),1)</f>
        <v>Mean Elevation</v>
      </c>
      <c r="N183" s="26" t="str">
        <f>INDEX(Active!B:B, MATCH(Spearmans2!L183, Active!F:F,0),1)</f>
        <v>Natural</v>
      </c>
      <c r="O183" s="26" t="str">
        <f>INDEX(Active!K:K, MATCH(Spearmans2!L183, Active!F:F,0),1)</f>
        <v>Mean AOI elevation (m)</v>
      </c>
      <c r="P183" s="52" t="s">
        <v>217</v>
      </c>
      <c r="Q183" s="26" t="s">
        <v>103</v>
      </c>
      <c r="R183" s="26" t="s">
        <v>218</v>
      </c>
      <c r="S183" s="27">
        <v>-0.80963211038336902</v>
      </c>
    </row>
    <row r="184" spans="1:19" s="20" customFormat="1" x14ac:dyDescent="0.3">
      <c r="A184" s="33" t="s">
        <v>50</v>
      </c>
      <c r="B184" s="23" t="str">
        <f>IF(RIGHT(A184,2)="WS", LEFT(A184,LEN(A184)-2),A184)</f>
        <v>PCTMXFST2001</v>
      </c>
      <c r="C184" s="23" t="str">
        <f>INDEX(Active!J:J, MATCH(Spearmans2!B184, Active!F:F,0),1)</f>
        <v>Mixed Deciduous/Evergreen Forest Percentage</v>
      </c>
      <c r="D184" s="23" t="str">
        <f>INDEX(Active!B:B, MATCH(Spearmans2!B184, Active!F:F,0),1)</f>
        <v>Natural</v>
      </c>
      <c r="E184" s="23" t="str">
        <f>INDEX(Active!D:D, MATCH(Spearmans2!B184, Active!F:F,0),1)</f>
        <v>Land Cover</v>
      </c>
      <c r="F184" s="23" t="str">
        <f>INDEX(Active!K:K, MATCH(Spearmans2!B184, Active!F:F,0),1)</f>
        <v>% of AOI area classified as mixed deciduous/evergreen forest land cover (NLCD class 43)</v>
      </c>
      <c r="G184" s="33" t="s">
        <v>503</v>
      </c>
      <c r="H184" s="23" t="s">
        <v>103</v>
      </c>
      <c r="I184" s="23" t="s">
        <v>375</v>
      </c>
      <c r="J184" s="23" t="s">
        <v>504</v>
      </c>
      <c r="K184" s="56" t="s">
        <v>49</v>
      </c>
      <c r="L184" s="24" t="str">
        <f>IF(RIGHT(K184,2)="WS", LEFT(K184,LEN(K184)-2),K184)</f>
        <v>PCTDECID2001</v>
      </c>
      <c r="M184" s="24" t="str">
        <f>INDEX(Active!J:J, MATCH(Spearmans2!L184, Active!F:F,0),1)</f>
        <v>Deciduous Forest Percentage</v>
      </c>
      <c r="N184" s="24" t="str">
        <f>INDEX(Active!B:B, MATCH(Spearmans2!L184, Active!F:F,0),1)</f>
        <v>Natural</v>
      </c>
      <c r="O184" s="24" t="str">
        <f>INDEX(Active!K:K, MATCH(Spearmans2!L184, Active!F:F,0),1)</f>
        <v>% of AOI area classified as deciduous forest land cover (NLCD class 41)</v>
      </c>
      <c r="P184" s="34" t="s">
        <v>409</v>
      </c>
      <c r="Q184" s="24" t="s">
        <v>103</v>
      </c>
      <c r="R184" s="24" t="s">
        <v>410</v>
      </c>
      <c r="S184" s="28">
        <v>0.8038411955459116</v>
      </c>
    </row>
    <row r="185" spans="1:19" s="20" customFormat="1" x14ac:dyDescent="0.3">
      <c r="A185" s="33" t="s">
        <v>50</v>
      </c>
      <c r="B185" s="23" t="str">
        <f>IF(RIGHT(A185,2)="WS", LEFT(A185,LEN(A185)-2),A185)</f>
        <v>PCTMXFST2001</v>
      </c>
      <c r="C185" s="23" t="str">
        <f>INDEX(Active!J:J, MATCH(Spearmans2!B185, Active!F:F,0),1)</f>
        <v>Mixed Deciduous/Evergreen Forest Percentage</v>
      </c>
      <c r="D185" s="23" t="str">
        <f>INDEX(Active!B:B, MATCH(Spearmans2!B185, Active!F:F,0),1)</f>
        <v>Natural</v>
      </c>
      <c r="E185" s="23" t="str">
        <f>INDEX(Active!D:D, MATCH(Spearmans2!B185, Active!F:F,0),1)</f>
        <v>Land Cover</v>
      </c>
      <c r="F185" s="23" t="str">
        <f>INDEX(Active!K:K, MATCH(Spearmans2!B185, Active!F:F,0),1)</f>
        <v>% of AOI area classified as mixed deciduous/evergreen forest land cover (NLCD class 43)</v>
      </c>
      <c r="G185" s="33" t="s">
        <v>503</v>
      </c>
      <c r="H185" s="23" t="s">
        <v>103</v>
      </c>
      <c r="I185" s="23" t="s">
        <v>375</v>
      </c>
      <c r="J185" s="23" t="s">
        <v>504</v>
      </c>
      <c r="K185" s="56" t="s">
        <v>25</v>
      </c>
      <c r="L185" s="24" t="str">
        <f>IF(RIGHT(K185,2)="WS", LEFT(K185,LEN(K185)-2),K185)</f>
        <v>TMIN9120</v>
      </c>
      <c r="M185" s="24" t="str">
        <f>INDEX(Active!J:J, MATCH(Spearmans2!L185, Active!F:F,0),1)</f>
        <v>30-year Average Annual Normal Minimum Air Temperature</v>
      </c>
      <c r="N185" s="24" t="str">
        <f>INDEX(Active!B:B, MATCH(Spearmans2!L185, Active!F:F,0),1)</f>
        <v>Natural</v>
      </c>
      <c r="O185" s="24" t="str">
        <f>INDEX(Active!K:K, MATCH(Spearmans2!L185, Active!F:F,0),1)</f>
        <v>PRISM climate data - 30-year normal minimum temperature (CÂ°): Annual period: 1991-2020 within the AOI</v>
      </c>
      <c r="P185" s="34" t="s">
        <v>702</v>
      </c>
      <c r="Q185" s="24" t="s">
        <v>103</v>
      </c>
      <c r="R185" s="24" t="s">
        <v>706</v>
      </c>
      <c r="S185" s="28">
        <v>0.80540130695990564</v>
      </c>
    </row>
    <row r="186" spans="1:19" s="21" customFormat="1" x14ac:dyDescent="0.3">
      <c r="A186" s="38" t="s">
        <v>50</v>
      </c>
      <c r="B186" s="29" t="str">
        <f>IF(RIGHT(A186,2)="WS", LEFT(A186,LEN(A186)-2),A186)</f>
        <v>PCTMXFST2001</v>
      </c>
      <c r="C186" s="29" t="str">
        <f>INDEX(Active!J:J, MATCH(Spearmans2!B186, Active!F:F,0),1)</f>
        <v>Mixed Deciduous/Evergreen Forest Percentage</v>
      </c>
      <c r="D186" s="29" t="str">
        <f>INDEX(Active!B:B, MATCH(Spearmans2!B186, Active!F:F,0),1)</f>
        <v>Natural</v>
      </c>
      <c r="E186" s="29" t="str">
        <f>INDEX(Active!D:D, MATCH(Spearmans2!B186, Active!F:F,0),1)</f>
        <v>Land Cover</v>
      </c>
      <c r="F186" s="29" t="str">
        <f>INDEX(Active!K:K, MATCH(Spearmans2!B186, Active!F:F,0),1)</f>
        <v>% of AOI area classified as mixed deciduous/evergreen forest land cover (NLCD class 43)</v>
      </c>
      <c r="G186" s="38" t="s">
        <v>503</v>
      </c>
      <c r="H186" s="29" t="s">
        <v>103</v>
      </c>
      <c r="I186" s="29" t="s">
        <v>375</v>
      </c>
      <c r="J186" s="29" t="s">
        <v>504</v>
      </c>
      <c r="K186" s="57" t="s">
        <v>21</v>
      </c>
      <c r="L186" s="30" t="str">
        <f>IF(RIGHT(K186,2)="WS", LEFT(K186,LEN(K186)-2),K186)</f>
        <v>TMIN8110</v>
      </c>
      <c r="M186" s="30" t="str">
        <f>INDEX(Active!J:J, MATCH(Spearmans2!L186, Active!F:F,0),1)</f>
        <v>30-year Average Annual Normal Minimum Air Temperature</v>
      </c>
      <c r="N186" s="30" t="str">
        <f>INDEX(Active!B:B, MATCH(Spearmans2!L186, Active!F:F,0),1)</f>
        <v>Natural</v>
      </c>
      <c r="O186" s="30" t="str">
        <f>INDEX(Active!K:K, MATCH(Spearmans2!L186, Active!F:F,0),1)</f>
        <v>PRISM climate data - 30-year normal minimum temperature (CÂ°): Annual period: 1981-2010 within the AOI</v>
      </c>
      <c r="P186" s="53" t="s">
        <v>702</v>
      </c>
      <c r="Q186" s="30" t="s">
        <v>103</v>
      </c>
      <c r="R186" s="30" t="s">
        <v>703</v>
      </c>
      <c r="S186" s="31">
        <v>0.81372865053085386</v>
      </c>
    </row>
    <row r="187" spans="1:19" s="36" customFormat="1" x14ac:dyDescent="0.3">
      <c r="A187" s="39" t="s">
        <v>760</v>
      </c>
      <c r="B187" s="16" t="str">
        <f>IF(RIGHT(A187,2)="WS", LEFT(A187,LEN(A187)-2),A187)</f>
        <v>PCTNONCARBRESID</v>
      </c>
      <c r="C187" s="16" t="str">
        <f>INDEX(Active!J:J, MATCH(Spearmans2!B187, Active!F:F,0),1)</f>
        <v>Non-Carbonate Residual Material</v>
      </c>
      <c r="D187" s="16" t="str">
        <f>INDEX(Active!B:B, MATCH(Spearmans2!B187, Active!F:F,0),1)</f>
        <v>Natural</v>
      </c>
      <c r="E187" s="16" t="str">
        <f>INDEX(Active!D:D, MATCH(Spearmans2!B187, Active!F:F,0),1)</f>
        <v>Lithology</v>
      </c>
      <c r="F187" s="16" t="str">
        <f>INDEX(Active!K:K, MATCH(Spearmans2!B187, Active!F:F,0),1)</f>
        <v>% of AOI area classified as lithology type: non-carbonate residual material</v>
      </c>
      <c r="G187" s="39" t="s">
        <v>513</v>
      </c>
      <c r="H187" s="16" t="s">
        <v>103</v>
      </c>
      <c r="I187" s="16" t="s">
        <v>104</v>
      </c>
      <c r="J187" s="16" t="s">
        <v>514</v>
      </c>
      <c r="K187" s="58" t="s">
        <v>759</v>
      </c>
      <c r="L187" s="17" t="str">
        <f>IF(RIGHT(K187,2)="WS", LEFT(K187,LEN(K187)-2),K187)</f>
        <v>PCT_EROD</v>
      </c>
      <c r="M187" s="17" t="e">
        <f>INDEX(Active!J:J, MATCH(Spearmans2!L187, Active!F:F,0),1)</f>
        <v>#N/A</v>
      </c>
      <c r="N187" s="17" t="e">
        <f>INDEX(Active!B:B, MATCH(Spearmans2!L187, Active!F:F,0),1)</f>
        <v>#N/A</v>
      </c>
      <c r="O187" s="17" t="e">
        <f>INDEX(Active!K:K, MATCH(Spearmans2!L187, Active!F:F,0),1)</f>
        <v>#N/A</v>
      </c>
      <c r="P187" s="45" t="e">
        <v>#N/A</v>
      </c>
      <c r="Q187" s="17" t="e">
        <v>#N/A</v>
      </c>
      <c r="R187" s="17" t="e">
        <v>#N/A</v>
      </c>
      <c r="S187" s="18">
        <v>0.85567483700888225</v>
      </c>
    </row>
    <row r="188" spans="1:19" s="36" customFormat="1" x14ac:dyDescent="0.3">
      <c r="A188" s="39" t="s">
        <v>761</v>
      </c>
      <c r="B188" s="16" t="str">
        <f>IF(RIGHT(A188,2)="WS", LEFT(A188,LEN(A188)-2),A188)</f>
        <v>PCTSILICIC</v>
      </c>
      <c r="C188" s="16" t="str">
        <f>INDEX(Active!J:J, MATCH(Spearmans2!B188, Active!F:F,0),1)</f>
        <v>Silicic Residual Material</v>
      </c>
      <c r="D188" s="16" t="str">
        <f>INDEX(Active!B:B, MATCH(Spearmans2!B188, Active!F:F,0),1)</f>
        <v>Natural</v>
      </c>
      <c r="E188" s="16" t="str">
        <f>INDEX(Active!D:D, MATCH(Spearmans2!B188, Active!F:F,0),1)</f>
        <v>Lithology</v>
      </c>
      <c r="F188" s="16" t="str">
        <f>INDEX(Active!K:K, MATCH(Spearmans2!B188, Active!F:F,0),1)</f>
        <v>% of AOI area classified as lithology type: silicic residual material</v>
      </c>
      <c r="G188" s="39" t="s">
        <v>532</v>
      </c>
      <c r="H188" s="16" t="s">
        <v>103</v>
      </c>
      <c r="I188" s="16" t="s">
        <v>104</v>
      </c>
      <c r="J188" s="16" t="s">
        <v>533</v>
      </c>
      <c r="K188" s="58" t="s">
        <v>759</v>
      </c>
      <c r="L188" s="17" t="str">
        <f>IF(RIGHT(K188,2)="WS", LEFT(K188,LEN(K188)-2),K188)</f>
        <v>PCT_EROD</v>
      </c>
      <c r="M188" s="17" t="e">
        <f>INDEX(Active!J:J, MATCH(Spearmans2!L188, Active!F:F,0),1)</f>
        <v>#N/A</v>
      </c>
      <c r="N188" s="17" t="e">
        <f>INDEX(Active!B:B, MATCH(Spearmans2!L188, Active!F:F,0),1)</f>
        <v>#N/A</v>
      </c>
      <c r="O188" s="17" t="e">
        <f>INDEX(Active!K:K, MATCH(Spearmans2!L188, Active!F:F,0),1)</f>
        <v>#N/A</v>
      </c>
      <c r="P188" s="45" t="e">
        <v>#N/A</v>
      </c>
      <c r="Q188" s="17" t="e">
        <v>#N/A</v>
      </c>
      <c r="R188" s="17" t="e">
        <v>#N/A</v>
      </c>
      <c r="S188" s="18">
        <v>-0.83093272749293345</v>
      </c>
    </row>
    <row r="189" spans="1:19" s="19" customFormat="1" x14ac:dyDescent="0.3">
      <c r="A189" s="37" t="s">
        <v>70</v>
      </c>
      <c r="B189" s="25" t="str">
        <f>IF(RIGHT(A189,2)="WS", LEFT(A189,LEN(A189)-2),A189)</f>
        <v>PCTUNDSEV2002</v>
      </c>
      <c r="C189" s="25" t="str">
        <f>INDEX(Active!J:J, MATCH(Spearmans2!B189, Active!F:F,0),1)</f>
        <v>Percent Underburned to Low Burn Severity Class For Year</v>
      </c>
      <c r="D189" s="25" t="str">
        <f>INDEX(Active!B:B, MATCH(Spearmans2!B189, Active!F:F,0),1)</f>
        <v>Natural</v>
      </c>
      <c r="E189" s="25" t="str">
        <f>INDEX(Active!D:D, MATCH(Spearmans2!B189, Active!F:F,0),1)</f>
        <v>Wildfire</v>
      </c>
      <c r="F189" s="25" t="str">
        <f>INDEX(Active!K:K, MATCH(Spearmans2!B189, Active!F:F,0),1)</f>
        <v>% of AOI in each burn severity class for wildfires for each year for 1984-2018</v>
      </c>
      <c r="G189" s="37" t="s">
        <v>536</v>
      </c>
      <c r="H189" s="25" t="s">
        <v>103</v>
      </c>
      <c r="I189" s="25" t="s">
        <v>380</v>
      </c>
      <c r="J189" s="25" t="s">
        <v>470</v>
      </c>
      <c r="K189" s="55" t="s">
        <v>74</v>
      </c>
      <c r="L189" s="26" t="str">
        <f>IF(RIGHT(K189,2)="WS", LEFT(K189,LEN(K189)-2),K189)</f>
        <v>PCTFIRE2002</v>
      </c>
      <c r="M189" s="26" t="str">
        <f>INDEX(Active!J:J, MATCH(Spearmans2!L189, Active!F:F,0),1)</f>
        <v>Forest Fire Loss</v>
      </c>
      <c r="N189" s="26" t="str">
        <f>INDEX(Active!B:B, MATCH(Spearmans2!L189, Active!F:F,0),1)</f>
        <v>Natural</v>
      </c>
      <c r="O189" s="26" t="str">
        <f>INDEX(Active!K:K, MATCH(Spearmans2!L189, Active!F:F,0),1)</f>
        <v>% Forest loss to fire (fire perimeter) within AOI</v>
      </c>
      <c r="P189" s="52" t="s">
        <v>426</v>
      </c>
      <c r="Q189" s="26" t="s">
        <v>103</v>
      </c>
      <c r="R189" s="26" t="s">
        <v>427</v>
      </c>
      <c r="S189" s="27">
        <v>0.85833138031151224</v>
      </c>
    </row>
    <row r="190" spans="1:19" s="20" customFormat="1" x14ac:dyDescent="0.3">
      <c r="A190" s="33" t="s">
        <v>70</v>
      </c>
      <c r="B190" s="23" t="str">
        <f>IF(RIGHT(A190,2)="WS", LEFT(A190,LEN(A190)-2),A190)</f>
        <v>PCTUNDSEV2002</v>
      </c>
      <c r="C190" s="23" t="str">
        <f>INDEX(Active!J:J, MATCH(Spearmans2!B190, Active!F:F,0),1)</f>
        <v>Percent Underburned to Low Burn Severity Class For Year</v>
      </c>
      <c r="D190" s="23" t="str">
        <f>INDEX(Active!B:B, MATCH(Spearmans2!B190, Active!F:F,0),1)</f>
        <v>Natural</v>
      </c>
      <c r="E190" s="23" t="str">
        <f>INDEX(Active!D:D, MATCH(Spearmans2!B190, Active!F:F,0),1)</f>
        <v>Wildfire</v>
      </c>
      <c r="F190" s="23" t="str">
        <f>INDEX(Active!K:K, MATCH(Spearmans2!B190, Active!F:F,0),1)</f>
        <v>% of AOI in each burn severity class for wildfires for each year for 1984-2018</v>
      </c>
      <c r="G190" s="33" t="s">
        <v>536</v>
      </c>
      <c r="H190" s="23" t="s">
        <v>103</v>
      </c>
      <c r="I190" s="23" t="s">
        <v>380</v>
      </c>
      <c r="J190" s="23" t="s">
        <v>470</v>
      </c>
      <c r="K190" s="56" t="s">
        <v>73</v>
      </c>
      <c r="L190" s="24" t="str">
        <f>IF(RIGHT(K190,2)="WS", LEFT(K190,LEN(K190)-2),K190)</f>
        <v>PCTHIGHSEV2002</v>
      </c>
      <c r="M190" s="24" t="str">
        <f>INDEX(Active!J:J, MATCH(Spearmans2!L190, Active!F:F,0),1)</f>
        <v>Percent High Burn Severity Class For Year</v>
      </c>
      <c r="N190" s="24" t="str">
        <f>INDEX(Active!B:B, MATCH(Spearmans2!L190, Active!F:F,0),1)</f>
        <v>Natural</v>
      </c>
      <c r="O190" s="24" t="str">
        <f>INDEX(Active!K:K, MATCH(Spearmans2!L190, Active!F:F,0),1)</f>
        <v>% of AOI in each burn severity class for wildfires for each year for 1984-2018</v>
      </c>
      <c r="P190" s="34" t="s">
        <v>469</v>
      </c>
      <c r="Q190" s="24" t="s">
        <v>103</v>
      </c>
      <c r="R190" s="24" t="s">
        <v>470</v>
      </c>
      <c r="S190" s="28">
        <v>0.87024495249893008</v>
      </c>
    </row>
    <row r="191" spans="1:19" s="20" customFormat="1" x14ac:dyDescent="0.3">
      <c r="A191" s="33" t="s">
        <v>70</v>
      </c>
      <c r="B191" s="23" t="str">
        <f>IF(RIGHT(A191,2)="WS", LEFT(A191,LEN(A191)-2),A191)</f>
        <v>PCTUNDSEV2002</v>
      </c>
      <c r="C191" s="23" t="str">
        <f>INDEX(Active!J:J, MATCH(Spearmans2!B191, Active!F:F,0),1)</f>
        <v>Percent Underburned to Low Burn Severity Class For Year</v>
      </c>
      <c r="D191" s="23" t="str">
        <f>INDEX(Active!B:B, MATCH(Spearmans2!B191, Active!F:F,0),1)</f>
        <v>Natural</v>
      </c>
      <c r="E191" s="23" t="str">
        <f>INDEX(Active!D:D, MATCH(Spearmans2!B191, Active!F:F,0),1)</f>
        <v>Wildfire</v>
      </c>
      <c r="F191" s="23" t="str">
        <f>INDEX(Active!K:K, MATCH(Spearmans2!B191, Active!F:F,0),1)</f>
        <v>% of AOI in each burn severity class for wildfires for each year for 1984-2018</v>
      </c>
      <c r="G191" s="33" t="s">
        <v>536</v>
      </c>
      <c r="H191" s="23" t="s">
        <v>103</v>
      </c>
      <c r="I191" s="23" t="s">
        <v>380</v>
      </c>
      <c r="J191" s="23" t="s">
        <v>470</v>
      </c>
      <c r="K191" s="56" t="s">
        <v>72</v>
      </c>
      <c r="L191" s="24" t="str">
        <f>IF(RIGHT(K191,2)="WS", LEFT(K191,LEN(K191)-2),K191)</f>
        <v>PCTMODSEV2002</v>
      </c>
      <c r="M191" s="24" t="str">
        <f>INDEX(Active!J:J, MATCH(Spearmans2!L191, Active!F:F,0),1)</f>
        <v>Percent Moderate Burn Severity Class For Year</v>
      </c>
      <c r="N191" s="24" t="str">
        <f>INDEX(Active!B:B, MATCH(Spearmans2!L191, Active!F:F,0),1)</f>
        <v>Natural</v>
      </c>
      <c r="O191" s="24" t="str">
        <f>INDEX(Active!K:K, MATCH(Spearmans2!L191, Active!F:F,0),1)</f>
        <v>% of AOI in each burn severity class for wildfires for each year for 1984-2018</v>
      </c>
      <c r="P191" s="34" t="s">
        <v>500</v>
      </c>
      <c r="Q191" s="24" t="s">
        <v>103</v>
      </c>
      <c r="R191" s="24" t="s">
        <v>470</v>
      </c>
      <c r="S191" s="28">
        <v>0.9321102720211224</v>
      </c>
    </row>
    <row r="192" spans="1:19" s="20" customFormat="1" x14ac:dyDescent="0.3">
      <c r="A192" s="33" t="s">
        <v>70</v>
      </c>
      <c r="B192" s="23" t="str">
        <f>IF(RIGHT(A192,2)="WS", LEFT(A192,LEN(A192)-2),A192)</f>
        <v>PCTUNDSEV2002</v>
      </c>
      <c r="C192" s="23" t="str">
        <f>INDEX(Active!J:J, MATCH(Spearmans2!B192, Active!F:F,0),1)</f>
        <v>Percent Underburned to Low Burn Severity Class For Year</v>
      </c>
      <c r="D192" s="23" t="str">
        <f>INDEX(Active!B:B, MATCH(Spearmans2!B192, Active!F:F,0),1)</f>
        <v>Natural</v>
      </c>
      <c r="E192" s="23" t="str">
        <f>INDEX(Active!D:D, MATCH(Spearmans2!B192, Active!F:F,0),1)</f>
        <v>Wildfire</v>
      </c>
      <c r="F192" s="23" t="str">
        <f>INDEX(Active!K:K, MATCH(Spearmans2!B192, Active!F:F,0),1)</f>
        <v>% of AOI in each burn severity class for wildfires for each year for 1984-2018</v>
      </c>
      <c r="G192" s="33" t="s">
        <v>536</v>
      </c>
      <c r="H192" s="23" t="s">
        <v>103</v>
      </c>
      <c r="I192" s="23" t="s">
        <v>380</v>
      </c>
      <c r="J192" s="23" t="s">
        <v>470</v>
      </c>
      <c r="K192" s="56" t="s">
        <v>71</v>
      </c>
      <c r="L192" s="24" t="str">
        <f>IF(RIGHT(K192,2)="WS", LEFT(K192,LEN(K192)-2),K192)</f>
        <v>PCTLOWSEV2002</v>
      </c>
      <c r="M192" s="24" t="str">
        <f>INDEX(Active!J:J, MATCH(Spearmans2!L192, Active!F:F,0),1)</f>
        <v>Percent Low Burn Severity Class For Year</v>
      </c>
      <c r="N192" s="24" t="str">
        <f>INDEX(Active!B:B, MATCH(Spearmans2!L192, Active!F:F,0),1)</f>
        <v>Natural</v>
      </c>
      <c r="O192" s="24" t="str">
        <f>INDEX(Active!K:K, MATCH(Spearmans2!L192, Active!F:F,0),1)</f>
        <v>% of AOI in each burn severity class for wildfires for each year for 1984-2018</v>
      </c>
      <c r="P192" s="34" t="s">
        <v>497</v>
      </c>
      <c r="Q192" s="24" t="s">
        <v>103</v>
      </c>
      <c r="R192" s="24" t="s">
        <v>470</v>
      </c>
      <c r="S192" s="28">
        <v>0.99061114776769621</v>
      </c>
    </row>
    <row r="193" spans="1:19" s="21" customFormat="1" x14ac:dyDescent="0.3">
      <c r="A193" s="38" t="s">
        <v>70</v>
      </c>
      <c r="B193" s="29" t="str">
        <f>IF(RIGHT(A193,2)="WS", LEFT(A193,LEN(A193)-2),A193)</f>
        <v>PCTUNDSEV2002</v>
      </c>
      <c r="C193" s="29" t="str">
        <f>INDEX(Active!J:J, MATCH(Spearmans2!B193, Active!F:F,0),1)</f>
        <v>Percent Underburned to Low Burn Severity Class For Year</v>
      </c>
      <c r="D193" s="29" t="str">
        <f>INDEX(Active!B:B, MATCH(Spearmans2!B193, Active!F:F,0),1)</f>
        <v>Natural</v>
      </c>
      <c r="E193" s="29" t="str">
        <f>INDEX(Active!D:D, MATCH(Spearmans2!B193, Active!F:F,0),1)</f>
        <v>Wildfire</v>
      </c>
      <c r="F193" s="29" t="str">
        <f>INDEX(Active!K:K, MATCH(Spearmans2!B193, Active!F:F,0),1)</f>
        <v>% of AOI in each burn severity class for wildfires for each year for 1984-2018</v>
      </c>
      <c r="G193" s="38" t="s">
        <v>536</v>
      </c>
      <c r="H193" s="29" t="s">
        <v>103</v>
      </c>
      <c r="I193" s="29" t="s">
        <v>380</v>
      </c>
      <c r="J193" s="29" t="s">
        <v>470</v>
      </c>
      <c r="K193" s="57" t="s">
        <v>69</v>
      </c>
      <c r="L193" s="30" t="str">
        <f>IF(RIGHT(K193,2)="WS", LEFT(K193,LEN(K193)-2),K193)</f>
        <v>PCTBURNAREA2002</v>
      </c>
      <c r="M193" s="30" t="str">
        <f>INDEX(Active!J:J, MATCH(Spearmans2!L193, Active!F:F,0),1)</f>
        <v>Wildfire Burn Percent 1984-2018</v>
      </c>
      <c r="N193" s="30" t="str">
        <f>INDEX(Active!B:B, MATCH(Spearmans2!L193, Active!F:F,0),1)</f>
        <v>Natural</v>
      </c>
      <c r="O193" s="30" t="str">
        <f>INDEX(Active!K:K, MATCH(Spearmans2!L193, Active!F:F,0),1)</f>
        <v>Mean % of AOI burned from wildfires for each year for 1984-2018</v>
      </c>
      <c r="P193" s="53" t="s">
        <v>384</v>
      </c>
      <c r="Q193" s="30" t="s">
        <v>103</v>
      </c>
      <c r="R193" s="30" t="s">
        <v>385</v>
      </c>
      <c r="S193" s="31">
        <v>0.99981548340304216</v>
      </c>
    </row>
    <row r="194" spans="1:19" s="19" customFormat="1" x14ac:dyDescent="0.3">
      <c r="A194" s="37" t="s">
        <v>47</v>
      </c>
      <c r="B194" s="25" t="str">
        <f>IF(RIGHT(A194,2)="WS", LEFT(A194,LEN(A194)-2),A194)</f>
        <v>PCTURBLO2001</v>
      </c>
      <c r="C194" s="25" t="str">
        <f>INDEX(Active!J:J, MATCH(Spearmans2!B194, Active!F:F,0),1)</f>
        <v>Developed, Low Intensity Land Use Percentage</v>
      </c>
      <c r="D194" s="25" t="str">
        <f>INDEX(Active!B:B, MATCH(Spearmans2!B194, Active!F:F,0),1)</f>
        <v>Anthropogenic</v>
      </c>
      <c r="E194" s="25" t="str">
        <f>INDEX(Active!D:D, MATCH(Spearmans2!B194, Active!F:F,0),1)</f>
        <v>Land Cover</v>
      </c>
      <c r="F194" s="25" t="str">
        <f>INDEX(Active!K:K, MATCH(Spearmans2!B194, Active!F:F,0),1)</f>
        <v>% of AOI area classified as developed, low-intensity land use (NLCD class 22)</v>
      </c>
      <c r="G194" s="37" t="s">
        <v>543</v>
      </c>
      <c r="H194" s="25" t="s">
        <v>92</v>
      </c>
      <c r="I194" s="25" t="s">
        <v>375</v>
      </c>
      <c r="J194" s="25" t="s">
        <v>544</v>
      </c>
      <c r="K194" s="55" t="s">
        <v>48</v>
      </c>
      <c r="L194" s="26" t="str">
        <f>IF(RIGHT(K194,2)="WS", LEFT(K194,LEN(K194)-2),K194)</f>
        <v>PCTURBMD2001</v>
      </c>
      <c r="M194" s="26" t="str">
        <f>INDEX(Active!J:J, MATCH(Spearmans2!L194, Active!F:F,0),1)</f>
        <v>Developed, Medium Intensity Land Use Percentage</v>
      </c>
      <c r="N194" s="26" t="str">
        <f>INDEX(Active!B:B, MATCH(Spearmans2!L194, Active!F:F,0),1)</f>
        <v>Anthropogenic</v>
      </c>
      <c r="O194" s="26" t="str">
        <f>INDEX(Active!K:K, MATCH(Spearmans2!L194, Active!F:F,0),1)</f>
        <v>% of AOI area classified as developed, medium-intensity land use (NLCD class 23)</v>
      </c>
      <c r="P194" s="52" t="s">
        <v>547</v>
      </c>
      <c r="Q194" s="26" t="s">
        <v>92</v>
      </c>
      <c r="R194" s="26" t="s">
        <v>548</v>
      </c>
      <c r="S194" s="27">
        <v>0.83549768606370378</v>
      </c>
    </row>
    <row r="195" spans="1:19" s="21" customFormat="1" x14ac:dyDescent="0.3">
      <c r="A195" s="38" t="s">
        <v>48</v>
      </c>
      <c r="B195" s="29" t="str">
        <f>IF(RIGHT(A195,2)="WS", LEFT(A195,LEN(A195)-2),A195)</f>
        <v>PCTURBMD2001</v>
      </c>
      <c r="C195" s="29" t="str">
        <f>INDEX(Active!J:J, MATCH(Spearmans2!B195, Active!F:F,0),1)</f>
        <v>Developed, Medium Intensity Land Use Percentage</v>
      </c>
      <c r="D195" s="29" t="str">
        <f>INDEX(Active!B:B, MATCH(Spearmans2!B195, Active!F:F,0),1)</f>
        <v>Anthropogenic</v>
      </c>
      <c r="E195" s="29" t="str">
        <f>INDEX(Active!D:D, MATCH(Spearmans2!B195, Active!F:F,0),1)</f>
        <v>Land Cover</v>
      </c>
      <c r="F195" s="29" t="str">
        <f>INDEX(Active!K:K, MATCH(Spearmans2!B195, Active!F:F,0),1)</f>
        <v>% of AOI area classified as developed, medium-intensity land use (NLCD class 23)</v>
      </c>
      <c r="G195" s="38" t="s">
        <v>547</v>
      </c>
      <c r="H195" s="29" t="s">
        <v>92</v>
      </c>
      <c r="I195" s="29" t="s">
        <v>375</v>
      </c>
      <c r="J195" s="29" t="s">
        <v>548</v>
      </c>
      <c r="K195" s="57" t="s">
        <v>47</v>
      </c>
      <c r="L195" s="30" t="str">
        <f>IF(RIGHT(K195,2)="WS", LEFT(K195,LEN(K195)-2),K195)</f>
        <v>PCTURBLO2001</v>
      </c>
      <c r="M195" s="30" t="str">
        <f>INDEX(Active!J:J, MATCH(Spearmans2!L195, Active!F:F,0),1)</f>
        <v>Developed, Low Intensity Land Use Percentage</v>
      </c>
      <c r="N195" s="30" t="str">
        <f>INDEX(Active!B:B, MATCH(Spearmans2!L195, Active!F:F,0),1)</f>
        <v>Anthropogenic</v>
      </c>
      <c r="O195" s="30" t="str">
        <f>INDEX(Active!K:K, MATCH(Spearmans2!L195, Active!F:F,0),1)</f>
        <v>% of AOI area classified as developed, low-intensity land use (NLCD class 22)</v>
      </c>
      <c r="P195" s="53" t="s">
        <v>543</v>
      </c>
      <c r="Q195" s="30" t="s">
        <v>92</v>
      </c>
      <c r="R195" s="30" t="s">
        <v>544</v>
      </c>
      <c r="S195" s="31">
        <v>0.83549768606370378</v>
      </c>
    </row>
    <row r="196" spans="1:19" s="19" customFormat="1" x14ac:dyDescent="0.3">
      <c r="A196" s="37" t="s">
        <v>60</v>
      </c>
      <c r="B196" s="25" t="str">
        <f>IF(RIGHT(A196,2)="WS", LEFT(A196,LEN(A196)-2),A196)</f>
        <v>PERM</v>
      </c>
      <c r="C196" s="25" t="str">
        <f>INDEX(Active!J:J, MATCH(Spearmans2!B196, Active!F:F,0),1)</f>
        <v>Mean Permeability</v>
      </c>
      <c r="D196" s="25" t="str">
        <f>INDEX(Active!B:B, MATCH(Spearmans2!B196, Active!F:F,0),1)</f>
        <v>Natural</v>
      </c>
      <c r="E196" s="25" t="str">
        <f>INDEX(Active!D:D, MATCH(Spearmans2!B196, Active!F:F,0),1)</f>
        <v>Lithology</v>
      </c>
      <c r="F196" s="25" t="str">
        <f>INDEX(Active!K:K, MATCH(Spearmans2!B196, Active!F:F,0),1)</f>
        <v>Mean permeability (cm/hour) of soils (STATSGO) within AOI</v>
      </c>
      <c r="G196" s="37" t="s">
        <v>563</v>
      </c>
      <c r="H196" s="25" t="s">
        <v>103</v>
      </c>
      <c r="I196" s="25" t="s">
        <v>104</v>
      </c>
      <c r="J196" s="25" t="s">
        <v>564</v>
      </c>
      <c r="K196" s="55" t="s">
        <v>59</v>
      </c>
      <c r="L196" s="26" t="str">
        <f>IF(RIGHT(K196,2)="WS", LEFT(K196,LEN(K196)-2),K196)</f>
        <v>CLAY</v>
      </c>
      <c r="M196" s="26" t="str">
        <f>INDEX(Active!J:J, MATCH(Spearmans2!L196, Active!F:F,0),1)</f>
        <v>Clay Mean</v>
      </c>
      <c r="N196" s="26" t="str">
        <f>INDEX(Active!B:B, MATCH(Spearmans2!L196, Active!F:F,0),1)</f>
        <v>Natural</v>
      </c>
      <c r="O196" s="26" t="str">
        <f>INDEX(Active!K:K, MATCH(Spearmans2!L196, Active!F:F,0),1)</f>
        <v>Mean % clay content of soils (STATSGO) within AOI</v>
      </c>
      <c r="P196" s="52" t="s">
        <v>181</v>
      </c>
      <c r="Q196" s="26" t="s">
        <v>103</v>
      </c>
      <c r="R196" s="26" t="s">
        <v>182</v>
      </c>
      <c r="S196" s="27">
        <v>-0.81231022328100222</v>
      </c>
    </row>
    <row r="197" spans="1:19" s="21" customFormat="1" x14ac:dyDescent="0.3">
      <c r="A197" s="38" t="s">
        <v>60</v>
      </c>
      <c r="B197" s="29" t="str">
        <f>IF(RIGHT(A197,2)="WS", LEFT(A197,LEN(A197)-2),A197)</f>
        <v>PERM</v>
      </c>
      <c r="C197" s="29" t="str">
        <f>INDEX(Active!J:J, MATCH(Spearmans2!B197, Active!F:F,0),1)</f>
        <v>Mean Permeability</v>
      </c>
      <c r="D197" s="29" t="str">
        <f>INDEX(Active!B:B, MATCH(Spearmans2!B197, Active!F:F,0),1)</f>
        <v>Natural</v>
      </c>
      <c r="E197" s="29" t="str">
        <f>INDEX(Active!D:D, MATCH(Spearmans2!B197, Active!F:F,0),1)</f>
        <v>Lithology</v>
      </c>
      <c r="F197" s="29" t="str">
        <f>INDEX(Active!K:K, MATCH(Spearmans2!B197, Active!F:F,0),1)</f>
        <v>Mean permeability (cm/hour) of soils (STATSGO) within AOI</v>
      </c>
      <c r="G197" s="38" t="s">
        <v>563</v>
      </c>
      <c r="H197" s="29" t="s">
        <v>103</v>
      </c>
      <c r="I197" s="29" t="s">
        <v>104</v>
      </c>
      <c r="J197" s="29" t="s">
        <v>564</v>
      </c>
      <c r="K197" s="57" t="s">
        <v>61</v>
      </c>
      <c r="L197" s="30" t="str">
        <f>IF(RIGHT(K197,2)="WS", LEFT(K197,LEN(K197)-2),K197)</f>
        <v>SAND</v>
      </c>
      <c r="M197" s="30" t="str">
        <f>INDEX(Active!J:J, MATCH(Spearmans2!L197, Active!F:F,0),1)</f>
        <v>Mean Sand Content</v>
      </c>
      <c r="N197" s="30" t="str">
        <f>INDEX(Active!B:B, MATCH(Spearmans2!L197, Active!F:F,0),1)</f>
        <v>Natural</v>
      </c>
      <c r="O197" s="30" t="str">
        <f>INDEX(Active!K:K, MATCH(Spearmans2!L197, Active!F:F,0),1)</f>
        <v>Mean % sand content of soils (STATSGO) within AOI</v>
      </c>
      <c r="P197" s="53" t="s">
        <v>646</v>
      </c>
      <c r="Q197" s="30" t="s">
        <v>103</v>
      </c>
      <c r="R197" s="30" t="s">
        <v>647</v>
      </c>
      <c r="S197" s="31">
        <v>0.84714675345802115</v>
      </c>
    </row>
    <row r="198" spans="1:19" s="36" customFormat="1" x14ac:dyDescent="0.3">
      <c r="A198" s="39" t="s">
        <v>68</v>
      </c>
      <c r="B198" s="16" t="str">
        <f>IF(RIGHT(A198,2)="WS", LEFT(A198,LEN(A198)-2),A198)</f>
        <v>POPDEN2010</v>
      </c>
      <c r="C198" s="16" t="str">
        <f>INDEX(Active!J:J, MATCH(Spearmans2!B198, Active!F:F,0),1)</f>
        <v>Mean Population Density</v>
      </c>
      <c r="D198" s="16" t="str">
        <f>INDEX(Active!B:B, MATCH(Spearmans2!B198, Active!F:F,0),1)</f>
        <v>Anthropogenic</v>
      </c>
      <c r="E198" s="16" t="str">
        <f>INDEX(Active!D:D, MATCH(Spearmans2!B198, Active!F:F,0),1)</f>
        <v>Urban</v>
      </c>
      <c r="F198" s="16" t="str">
        <f>INDEX(Active!K:K, MATCH(Spearmans2!B198, Active!F:F,0),1)</f>
        <v>Mean populating density (people/square km) within AOI</v>
      </c>
      <c r="G198" s="39" t="s">
        <v>574</v>
      </c>
      <c r="H198" s="16" t="s">
        <v>92</v>
      </c>
      <c r="I198" s="16" t="s">
        <v>232</v>
      </c>
      <c r="J198" s="16" t="s">
        <v>575</v>
      </c>
      <c r="K198" s="58" t="s">
        <v>67</v>
      </c>
      <c r="L198" s="17" t="str">
        <f>IF(RIGHT(K198,2)="WS", LEFT(K198,LEN(K198)-2),K198)</f>
        <v>HUDEN2010</v>
      </c>
      <c r="M198" s="17" t="str">
        <f>INDEX(Active!J:J, MATCH(Spearmans2!L198, Active!F:F,0),1)</f>
        <v>Mean Housing Density</v>
      </c>
      <c r="N198" s="17" t="str">
        <f>INDEX(Active!B:B, MATCH(Spearmans2!L198, Active!F:F,0),1)</f>
        <v>Anthropogenic</v>
      </c>
      <c r="O198" s="17" t="str">
        <f>INDEX(Active!K:K, MATCH(Spearmans2!L198, Active!F:F,0),1)</f>
        <v>Mean housing unit density (housing units/square km) within AOI.</v>
      </c>
      <c r="P198" s="45" t="s">
        <v>237</v>
      </c>
      <c r="Q198" s="17" t="s">
        <v>92</v>
      </c>
      <c r="R198" s="17" t="s">
        <v>238</v>
      </c>
      <c r="S198" s="18">
        <v>0.97263130701416123</v>
      </c>
    </row>
    <row r="199" spans="1:19" s="19" customFormat="1" x14ac:dyDescent="0.3">
      <c r="A199" s="37" t="s">
        <v>762</v>
      </c>
      <c r="B199" s="25" t="str">
        <f>IF(RIGHT(A199,2)="WS", LEFT(A199,LEN(A199)-2),A199)</f>
        <v>PRECIP_MINUS_EVT</v>
      </c>
      <c r="C199" s="25" t="str">
        <f>INDEX(Active!J:J, MATCH(Spearmans2!B199, Active!F:F,0),1)</f>
        <v>Surplus Precipitation</v>
      </c>
      <c r="D199" s="25" t="str">
        <f>INDEX(Active!B:B, MATCH(Spearmans2!B199, Active!F:F,0),1)</f>
        <v>Natural</v>
      </c>
      <c r="E199" s="25" t="str">
        <f>INDEX(Active!D:D, MATCH(Spearmans2!B199, Active!F:F,0),1)</f>
        <v>Climate</v>
      </c>
      <c r="F199" s="25" t="str">
        <f>INDEX(Active!K:K, MATCH(Spearmans2!B199,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9" s="37" t="s">
        <v>587</v>
      </c>
      <c r="H199" s="25" t="s">
        <v>103</v>
      </c>
      <c r="I199" s="25" t="s">
        <v>133</v>
      </c>
      <c r="J199" s="25" t="s">
        <v>588</v>
      </c>
      <c r="K199" s="55" t="s">
        <v>18</v>
      </c>
      <c r="L199" s="26" t="str">
        <f>IF(RIGHT(K199,2)="WS", LEFT(K199,LEN(K199)-2),K199)</f>
        <v>RUNOFF</v>
      </c>
      <c r="M199" s="26" t="str">
        <f>INDEX(Active!J:J, MATCH(Spearmans2!L199, Active!F:F,0),1)</f>
        <v>Mean Runoff</v>
      </c>
      <c r="N199" s="26" t="str">
        <f>INDEX(Active!B:B, MATCH(Spearmans2!L199, Active!F:F,0),1)</f>
        <v>Natural</v>
      </c>
      <c r="O199" s="26" t="str">
        <f>INDEX(Active!K:K, MATCH(Spearmans2!L199, Active!F:F,0),1)</f>
        <v>Mean runoff (mm) within AOI</v>
      </c>
      <c r="P199" s="52" t="s">
        <v>636</v>
      </c>
      <c r="Q199" s="26" t="s">
        <v>103</v>
      </c>
      <c r="R199" s="26" t="s">
        <v>637</v>
      </c>
      <c r="S199" s="27">
        <v>0.82793286982249725</v>
      </c>
    </row>
    <row r="200" spans="1:19" s="20" customFormat="1" x14ac:dyDescent="0.3">
      <c r="A200" s="33" t="s">
        <v>762</v>
      </c>
      <c r="B200" s="23" t="str">
        <f>IF(RIGHT(A200,2)="WS", LEFT(A200,LEN(A200)-2),A200)</f>
        <v>PRECIP_MINUS_EVT</v>
      </c>
      <c r="C200" s="23" t="str">
        <f>INDEX(Active!J:J, MATCH(Spearmans2!B200, Active!F:F,0),1)</f>
        <v>Surplus Precipitation</v>
      </c>
      <c r="D200" s="23" t="str">
        <f>INDEX(Active!B:B, MATCH(Spearmans2!B200, Active!F:F,0),1)</f>
        <v>Natural</v>
      </c>
      <c r="E200" s="23" t="str">
        <f>INDEX(Active!D:D, MATCH(Spearmans2!B200, Active!F:F,0),1)</f>
        <v>Climate</v>
      </c>
      <c r="F200" s="23" t="str">
        <f>INDEX(Active!K:K, MATCH(Spearmans2!B200,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0" s="33" t="s">
        <v>587</v>
      </c>
      <c r="H200" s="23" t="s">
        <v>103</v>
      </c>
      <c r="I200" s="23" t="s">
        <v>133</v>
      </c>
      <c r="J200" s="23" t="s">
        <v>588</v>
      </c>
      <c r="K200" s="56" t="s">
        <v>31</v>
      </c>
      <c r="L200" s="24" t="str">
        <f>IF(RIGHT(K200,2)="WS", LEFT(K200,LEN(K200)-2),K200)</f>
        <v>NH42008</v>
      </c>
      <c r="M200" s="24" t="str">
        <f>INDEX(Active!J:J, MATCH(Spearmans2!L200, Active!F:F,0),1)</f>
        <v>Mean annual Precipitation-Weighted NH4 Mean</v>
      </c>
      <c r="N200" s="24" t="str">
        <f>INDEX(Active!B:B, MATCH(Spearmans2!L200, Active!F:F,0),1)</f>
        <v>Natural</v>
      </c>
      <c r="O200" s="24" t="str">
        <f>INDEX(Active!K:K, MATCH(Spearmans2!L200, Active!F:F,0),1)</f>
        <v>Annual gradient map of precipitation-weighted mean deposition for ammonium ion concentration wet deposition for 2008 in kg of NH4/ha/yr, within AOI</v>
      </c>
      <c r="P200" s="34" t="s">
        <v>328</v>
      </c>
      <c r="Q200" s="24" t="s">
        <v>103</v>
      </c>
      <c r="R200" s="24" t="s">
        <v>329</v>
      </c>
      <c r="S200" s="28">
        <v>0.84791260182159089</v>
      </c>
    </row>
    <row r="201" spans="1:19" s="20" customFormat="1" x14ac:dyDescent="0.3">
      <c r="A201" s="33" t="s">
        <v>762</v>
      </c>
      <c r="B201" s="23" t="str">
        <f>IF(RIGHT(A201,2)="WS", LEFT(A201,LEN(A201)-2),A201)</f>
        <v>PRECIP_MINUS_EVT</v>
      </c>
      <c r="C201" s="23" t="str">
        <f>INDEX(Active!J:J, MATCH(Spearmans2!B201, Active!F:F,0),1)</f>
        <v>Surplus Precipitation</v>
      </c>
      <c r="D201" s="23" t="str">
        <f>INDEX(Active!B:B, MATCH(Spearmans2!B201, Active!F:F,0),1)</f>
        <v>Natural</v>
      </c>
      <c r="E201" s="23" t="str">
        <f>INDEX(Active!D:D, MATCH(Spearmans2!B201, Active!F:F,0),1)</f>
        <v>Climate</v>
      </c>
      <c r="F201" s="23" t="str">
        <f>INDEX(Active!K:K, MATCH(Spearmans2!B201,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1" s="33" t="s">
        <v>587</v>
      </c>
      <c r="H201" s="23" t="s">
        <v>103</v>
      </c>
      <c r="I201" s="23" t="s">
        <v>133</v>
      </c>
      <c r="J201" s="23" t="s">
        <v>588</v>
      </c>
      <c r="K201" s="56" t="s">
        <v>30</v>
      </c>
      <c r="L201" s="24" t="str">
        <f>IF(RIGHT(K201,2)="WS", LEFT(K201,LEN(K201)-2),K201)</f>
        <v>INORGNWETDEP2008</v>
      </c>
      <c r="M201" s="24" t="str">
        <f>INDEX(Active!J:J, MATCH(Spearmans2!L201, Active!F:F,0),1)</f>
        <v>Mean Annual Precipitation-Weighted Nitrogen</v>
      </c>
      <c r="N201" s="24" t="str">
        <f>INDEX(Active!B:B, MATCH(Spearmans2!L201, Active!F:F,0),1)</f>
        <v>Natural</v>
      </c>
      <c r="O201" s="24" t="str">
        <f>INDEX(Active!K:K, MATCH(Spearmans2!L201, Active!F:F,0),1)</f>
        <v>Annual gradient map of precipitation-weighted mean deposition for inorganic nitrogen wet deposition from nitrate and ammonium for 2008 in kg of N/ha/yr, within AOI</v>
      </c>
      <c r="P201" s="34" t="s">
        <v>257</v>
      </c>
      <c r="Q201" s="24" t="s">
        <v>103</v>
      </c>
      <c r="R201" s="24" t="s">
        <v>258</v>
      </c>
      <c r="S201" s="28">
        <v>0.87388327827182455</v>
      </c>
    </row>
    <row r="202" spans="1:19" s="20" customFormat="1" x14ac:dyDescent="0.3">
      <c r="A202" s="33" t="s">
        <v>762</v>
      </c>
      <c r="B202" s="23" t="str">
        <f>IF(RIGHT(A202,2)="WS", LEFT(A202,LEN(A202)-2),A202)</f>
        <v>PRECIP_MINUS_EVT</v>
      </c>
      <c r="C202" s="23" t="str">
        <f>INDEX(Active!J:J, MATCH(Spearmans2!B202, Active!F:F,0),1)</f>
        <v>Surplus Precipitation</v>
      </c>
      <c r="D202" s="23" t="str">
        <f>INDEX(Active!B:B, MATCH(Spearmans2!B202, Active!F:F,0),1)</f>
        <v>Natural</v>
      </c>
      <c r="E202" s="23" t="str">
        <f>INDEX(Active!D:D, MATCH(Spearmans2!B202, Active!F:F,0),1)</f>
        <v>Climate</v>
      </c>
      <c r="F202" s="23" t="str">
        <f>INDEX(Active!K:K, MATCH(Spearmans2!B202,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2" s="33" t="s">
        <v>587</v>
      </c>
      <c r="H202" s="23" t="s">
        <v>103</v>
      </c>
      <c r="I202" s="23" t="s">
        <v>133</v>
      </c>
      <c r="J202" s="23" t="s">
        <v>588</v>
      </c>
      <c r="K202" s="56" t="s">
        <v>28</v>
      </c>
      <c r="L202" s="24" t="str">
        <f>IF(RIGHT(K202,2)="WS", LEFT(K202,LEN(K202)-2),K202)</f>
        <v>NO32008</v>
      </c>
      <c r="M202" s="24" t="str">
        <f>INDEX(Active!J:J, MATCH(Spearmans2!L202, Active!F:F,0),1)</f>
        <v>Mean Annual Precipitation-Weighted NO3 Mean</v>
      </c>
      <c r="N202" s="24" t="str">
        <f>INDEX(Active!B:B, MATCH(Spearmans2!L202, Active!F:F,0),1)</f>
        <v>Natural</v>
      </c>
      <c r="O202" s="24" t="str">
        <f>INDEX(Active!K:K, MATCH(Spearmans2!L202, Active!F:F,0),1)</f>
        <v>Annual gradient map of precipitation-weighted mean deposition for nitrate ion concentration wet deposition for 2008 in kg of NO3/ha/yr, within AOI</v>
      </c>
      <c r="P202" s="34" t="s">
        <v>332</v>
      </c>
      <c r="Q202" s="24" t="s">
        <v>103</v>
      </c>
      <c r="R202" s="24" t="s">
        <v>333</v>
      </c>
      <c r="S202" s="28">
        <v>0.89309062988101662</v>
      </c>
    </row>
    <row r="203" spans="1:19" s="20" customFormat="1" x14ac:dyDescent="0.3">
      <c r="A203" s="33" t="s">
        <v>762</v>
      </c>
      <c r="B203" s="23" t="str">
        <f>IF(RIGHT(A203,2)="WS", LEFT(A203,LEN(A203)-2),A203)</f>
        <v>PRECIP_MINUS_EVT</v>
      </c>
      <c r="C203" s="23" t="str">
        <f>INDEX(Active!J:J, MATCH(Spearmans2!B203, Active!F:F,0),1)</f>
        <v>Surplus Precipitation</v>
      </c>
      <c r="D203" s="23" t="str">
        <f>INDEX(Active!B:B, MATCH(Spearmans2!B203, Active!F:F,0),1)</f>
        <v>Natural</v>
      </c>
      <c r="E203" s="23" t="str">
        <f>INDEX(Active!D:D, MATCH(Spearmans2!B203, Active!F:F,0),1)</f>
        <v>Climate</v>
      </c>
      <c r="F203" s="23" t="str">
        <f>INDEX(Active!K:K, MATCH(Spearmans2!B203,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3" s="33" t="s">
        <v>587</v>
      </c>
      <c r="H203" s="23" t="s">
        <v>103</v>
      </c>
      <c r="I203" s="23" t="s">
        <v>133</v>
      </c>
      <c r="J203" s="23" t="s">
        <v>588</v>
      </c>
      <c r="K203" s="56" t="s">
        <v>32</v>
      </c>
      <c r="L203" s="24" t="str">
        <f>IF(RIGHT(K203,2)="WS", LEFT(K203,LEN(K203)-2),K203)</f>
        <v>SN2008</v>
      </c>
      <c r="M203" s="24" t="str">
        <f>INDEX(Active!J:J, MATCH(Spearmans2!L203, Active!F:F,0),1)</f>
        <v>Annual Mean Sulfur and Nitrogen Wet Deposition</v>
      </c>
      <c r="N203" s="24" t="str">
        <f>INDEX(Active!B:B, MATCH(Spearmans2!L203, Active!F:F,0),1)</f>
        <v>Natural</v>
      </c>
      <c r="O203" s="24" t="str">
        <f>INDEX(Active!K:K, MATCH(Spearmans2!L203, Active!F:F,0),1)</f>
        <v>Annual gradient map of precipitation-weighted mean deposition for average sulfur &amp; nitrogen wet deposition for 2008 in kg of S+N/ha/yr, within AOI</v>
      </c>
      <c r="P203" s="34" t="s">
        <v>663</v>
      </c>
      <c r="Q203" s="24" t="s">
        <v>103</v>
      </c>
      <c r="R203" s="24" t="s">
        <v>664</v>
      </c>
      <c r="S203" s="28">
        <v>0.91949294487170352</v>
      </c>
    </row>
    <row r="204" spans="1:19" s="20" customFormat="1" x14ac:dyDescent="0.3">
      <c r="A204" s="33" t="s">
        <v>762</v>
      </c>
      <c r="B204" s="23" t="str">
        <f>IF(RIGHT(A204,2)="WS", LEFT(A204,LEN(A204)-2),A204)</f>
        <v>PRECIP_MINUS_EVT</v>
      </c>
      <c r="C204" s="23" t="str">
        <f>INDEX(Active!J:J, MATCH(Spearmans2!B204, Active!F:F,0),1)</f>
        <v>Surplus Precipitation</v>
      </c>
      <c r="D204" s="23" t="str">
        <f>INDEX(Active!B:B, MATCH(Spearmans2!B204, Active!F:F,0),1)</f>
        <v>Natural</v>
      </c>
      <c r="E204" s="23" t="str">
        <f>INDEX(Active!D:D, MATCH(Spearmans2!B204, Active!F:F,0),1)</f>
        <v>Climate</v>
      </c>
      <c r="F204" s="23" t="str">
        <f>INDEX(Active!K:K, MATCH(Spearmans2!B204,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4" s="33" t="s">
        <v>587</v>
      </c>
      <c r="H204" s="23" t="s">
        <v>103</v>
      </c>
      <c r="I204" s="23" t="s">
        <v>133</v>
      </c>
      <c r="J204" s="23" t="s">
        <v>588</v>
      </c>
      <c r="K204" s="56" t="s">
        <v>33</v>
      </c>
      <c r="L204" s="24" t="str">
        <f>IF(RIGHT(K204,2)="WS", LEFT(K204,LEN(K204)-2),K204)</f>
        <v>PRECIP9120</v>
      </c>
      <c r="M204" s="24" t="str">
        <f>INDEX(Active!J:J, MATCH(Spearmans2!L204, Active!F:F,0),1)</f>
        <v>30-year Mean Annual Precipitation</v>
      </c>
      <c r="N204" s="24" t="str">
        <f>INDEX(Active!B:B, MATCH(Spearmans2!L204, Active!F:F,0),1)</f>
        <v>Natural</v>
      </c>
      <c r="O204" s="24" t="str">
        <f>INDEX(Active!K:K, MATCH(Spearmans2!L204, Active!F:F,0),1)</f>
        <v>PRISM climate data - 30-year normal mean precipitation (mm): Annual period: 1991-2020 within the AOI</v>
      </c>
      <c r="P204" s="34" t="s">
        <v>591</v>
      </c>
      <c r="Q204" s="24" t="s">
        <v>103</v>
      </c>
      <c r="R204" s="24" t="s">
        <v>596</v>
      </c>
      <c r="S204" s="28">
        <v>0.98490110325869029</v>
      </c>
    </row>
    <row r="205" spans="1:19" s="20" customFormat="1" x14ac:dyDescent="0.3">
      <c r="A205" s="33" t="s">
        <v>762</v>
      </c>
      <c r="B205" s="23" t="str">
        <f>IF(RIGHT(A205,2)="WS", LEFT(A205,LEN(A205)-2),A205)</f>
        <v>PRECIP_MINUS_EVT</v>
      </c>
      <c r="C205" s="23" t="str">
        <f>INDEX(Active!J:J, MATCH(Spearmans2!B205, Active!F:F,0),1)</f>
        <v>Surplus Precipitation</v>
      </c>
      <c r="D205" s="23" t="str">
        <f>INDEX(Active!B:B, MATCH(Spearmans2!B205, Active!F:F,0),1)</f>
        <v>Natural</v>
      </c>
      <c r="E205" s="23" t="str">
        <f>INDEX(Active!D:D, MATCH(Spearmans2!B205, Active!F:F,0),1)</f>
        <v>Climate</v>
      </c>
      <c r="F205" s="23" t="str">
        <f>INDEX(Active!K:K, MATCH(Spearmans2!B205,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5" s="33" t="s">
        <v>587</v>
      </c>
      <c r="H205" s="23" t="s">
        <v>103</v>
      </c>
      <c r="I205" s="23" t="s">
        <v>133</v>
      </c>
      <c r="J205" s="23" t="s">
        <v>588</v>
      </c>
      <c r="K205" s="56" t="s">
        <v>29</v>
      </c>
      <c r="L205" s="24" t="str">
        <f>IF(RIGHT(K205,2)="WS", LEFT(K205,LEN(K205)-2),K205)</f>
        <v>PRECIP2008</v>
      </c>
      <c r="M205" s="24" t="str">
        <f>INDEX(Active!J:J, MATCH(Spearmans2!L205, Active!F:F,0),1)</f>
        <v>Mean Precipitation</v>
      </c>
      <c r="N205" s="24" t="str">
        <f>INDEX(Active!B:B, MATCH(Spearmans2!L205, Active!F:F,0),1)</f>
        <v>Natural</v>
      </c>
      <c r="O205" s="24" t="str">
        <f>INDEX(Active!K:K, MATCH(Spearmans2!L205, Active!F:F,0),1)</f>
        <v>PRISM climate data - 30-year normal mean precipitation (mm): Annual period: 2008 and 2009 within the AOI</v>
      </c>
      <c r="P205" s="34" t="s">
        <v>580</v>
      </c>
      <c r="Q205" s="24" t="s">
        <v>103</v>
      </c>
      <c r="R205" s="24" t="s">
        <v>581</v>
      </c>
      <c r="S205" s="28">
        <v>0.98654368344802978</v>
      </c>
    </row>
    <row r="206" spans="1:19" s="21" customFormat="1" x14ac:dyDescent="0.3">
      <c r="A206" s="38" t="s">
        <v>762</v>
      </c>
      <c r="B206" s="29" t="str">
        <f>IF(RIGHT(A206,2)="WS", LEFT(A206,LEN(A206)-2),A206)</f>
        <v>PRECIP_MINUS_EVT</v>
      </c>
      <c r="C206" s="29" t="str">
        <f>INDEX(Active!J:J, MATCH(Spearmans2!B206, Active!F:F,0),1)</f>
        <v>Surplus Precipitation</v>
      </c>
      <c r="D206" s="29" t="str">
        <f>INDEX(Active!B:B, MATCH(Spearmans2!B206, Active!F:F,0),1)</f>
        <v>Natural</v>
      </c>
      <c r="E206" s="29" t="str">
        <f>INDEX(Active!D:D, MATCH(Spearmans2!B206, Active!F:F,0),1)</f>
        <v>Climate</v>
      </c>
      <c r="F206" s="29" t="str">
        <f>INDEX(Active!K:K, MATCH(Spearmans2!B206,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6" s="38" t="s">
        <v>587</v>
      </c>
      <c r="H206" s="29" t="s">
        <v>103</v>
      </c>
      <c r="I206" s="29" t="s">
        <v>133</v>
      </c>
      <c r="J206" s="29" t="s">
        <v>588</v>
      </c>
      <c r="K206" s="57" t="s">
        <v>27</v>
      </c>
      <c r="L206" s="30" t="str">
        <f>IF(RIGHT(K206,2)="WS", LEFT(K206,LEN(K206)-2),K206)</f>
        <v>PRECIP8110</v>
      </c>
      <c r="M206" s="30" t="str">
        <f>INDEX(Active!J:J, MATCH(Spearmans2!L206, Active!F:F,0),1)</f>
        <v>30-year Mean Annual Precipitation</v>
      </c>
      <c r="N206" s="30" t="str">
        <f>INDEX(Active!B:B, MATCH(Spearmans2!L206, Active!F:F,0),1)</f>
        <v>Natural</v>
      </c>
      <c r="O206" s="30" t="str">
        <f>INDEX(Active!K:K, MATCH(Spearmans2!L206, Active!F:F,0),1)</f>
        <v>PRISM climate data - 30-year normal mean precipitation (mm): Annual period: 1981-2010 within AOI</v>
      </c>
      <c r="P206" s="53" t="s">
        <v>591</v>
      </c>
      <c r="Q206" s="30" t="s">
        <v>103</v>
      </c>
      <c r="R206" s="30" t="s">
        <v>592</v>
      </c>
      <c r="S206" s="31">
        <v>0.99385334379871904</v>
      </c>
    </row>
    <row r="207" spans="1:19" s="19" customFormat="1" x14ac:dyDescent="0.3">
      <c r="A207" s="37" t="s">
        <v>29</v>
      </c>
      <c r="B207" s="25" t="str">
        <f>IF(RIGHT(A207,2)="WS", LEFT(A207,LEN(A207)-2),A207)</f>
        <v>PRECIP2008</v>
      </c>
      <c r="C207" s="25" t="str">
        <f>INDEX(Active!J:J, MATCH(Spearmans2!B207, Active!F:F,0),1)</f>
        <v>Mean Precipitation</v>
      </c>
      <c r="D207" s="25" t="str">
        <f>INDEX(Active!B:B, MATCH(Spearmans2!B207, Active!F:F,0),1)</f>
        <v>Natural</v>
      </c>
      <c r="E207" s="25" t="str">
        <f>INDEX(Active!D:D, MATCH(Spearmans2!B207, Active!F:F,0),1)</f>
        <v>Climate</v>
      </c>
      <c r="F207" s="25" t="str">
        <f>INDEX(Active!K:K, MATCH(Spearmans2!B207, Active!F:F,0),1)</f>
        <v>PRISM climate data - 30-year normal mean precipitation (mm): Annual period: 2008 and 2009 within the AOI</v>
      </c>
      <c r="G207" s="37" t="s">
        <v>580</v>
      </c>
      <c r="H207" s="25" t="s">
        <v>103</v>
      </c>
      <c r="I207" s="25" t="s">
        <v>133</v>
      </c>
      <c r="J207" s="25" t="s">
        <v>581</v>
      </c>
      <c r="K207" s="55" t="s">
        <v>18</v>
      </c>
      <c r="L207" s="26" t="str">
        <f>IF(RIGHT(K207,2)="WS", LEFT(K207,LEN(K207)-2),K207)</f>
        <v>RUNOFF</v>
      </c>
      <c r="M207" s="26" t="str">
        <f>INDEX(Active!J:J, MATCH(Spearmans2!L207, Active!F:F,0),1)</f>
        <v>Mean Runoff</v>
      </c>
      <c r="N207" s="26" t="str">
        <f>INDEX(Active!B:B, MATCH(Spearmans2!L207, Active!F:F,0),1)</f>
        <v>Natural</v>
      </c>
      <c r="O207" s="26" t="str">
        <f>INDEX(Active!K:K, MATCH(Spearmans2!L207, Active!F:F,0),1)</f>
        <v>Mean runoff (mm) within AOI</v>
      </c>
      <c r="P207" s="52" t="s">
        <v>636</v>
      </c>
      <c r="Q207" s="26" t="s">
        <v>103</v>
      </c>
      <c r="R207" s="26" t="s">
        <v>637</v>
      </c>
      <c r="S207" s="27">
        <v>0.8033499524471901</v>
      </c>
    </row>
    <row r="208" spans="1:19" s="20" customFormat="1" x14ac:dyDescent="0.3">
      <c r="A208" s="33" t="s">
        <v>29</v>
      </c>
      <c r="B208" s="23" t="str">
        <f>IF(RIGHT(A208,2)="WS", LEFT(A208,LEN(A208)-2),A208)</f>
        <v>PRECIP2008</v>
      </c>
      <c r="C208" s="23" t="str">
        <f>INDEX(Active!J:J, MATCH(Spearmans2!B208, Active!F:F,0),1)</f>
        <v>Mean Precipitation</v>
      </c>
      <c r="D208" s="23" t="str">
        <f>INDEX(Active!B:B, MATCH(Spearmans2!B208, Active!F:F,0),1)</f>
        <v>Natural</v>
      </c>
      <c r="E208" s="23" t="str">
        <f>INDEX(Active!D:D, MATCH(Spearmans2!B208, Active!F:F,0),1)</f>
        <v>Climate</v>
      </c>
      <c r="F208" s="23" t="str">
        <f>INDEX(Active!K:K, MATCH(Spearmans2!B208, Active!F:F,0),1)</f>
        <v>PRISM climate data - 30-year normal mean precipitation (mm): Annual period: 2008 and 2009 within the AOI</v>
      </c>
      <c r="G208" s="33" t="s">
        <v>580</v>
      </c>
      <c r="H208" s="23" t="s">
        <v>103</v>
      </c>
      <c r="I208" s="23" t="s">
        <v>133</v>
      </c>
      <c r="J208" s="23" t="s">
        <v>581</v>
      </c>
      <c r="K208" s="56" t="s">
        <v>31</v>
      </c>
      <c r="L208" s="24" t="str">
        <f>IF(RIGHT(K208,2)="WS", LEFT(K208,LEN(K208)-2),K208)</f>
        <v>NH42008</v>
      </c>
      <c r="M208" s="24" t="str">
        <f>INDEX(Active!J:J, MATCH(Spearmans2!L208, Active!F:F,0),1)</f>
        <v>Mean annual Precipitation-Weighted NH4 Mean</v>
      </c>
      <c r="N208" s="24" t="str">
        <f>INDEX(Active!B:B, MATCH(Spearmans2!L208, Active!F:F,0),1)</f>
        <v>Natural</v>
      </c>
      <c r="O208" s="24" t="str">
        <f>INDEX(Active!K:K, MATCH(Spearmans2!L208, Active!F:F,0),1)</f>
        <v>Annual gradient map of precipitation-weighted mean deposition for ammonium ion concentration wet deposition for 2008 in kg of NH4/ha/yr, within AOI</v>
      </c>
      <c r="P208" s="34" t="s">
        <v>328</v>
      </c>
      <c r="Q208" s="24" t="s">
        <v>103</v>
      </c>
      <c r="R208" s="24" t="s">
        <v>329</v>
      </c>
      <c r="S208" s="28">
        <v>0.82799085659161542</v>
      </c>
    </row>
    <row r="209" spans="1:19" s="20" customFormat="1" x14ac:dyDescent="0.3">
      <c r="A209" s="33" t="s">
        <v>29</v>
      </c>
      <c r="B209" s="23" t="str">
        <f>IF(RIGHT(A209,2)="WS", LEFT(A209,LEN(A209)-2),A209)</f>
        <v>PRECIP2008</v>
      </c>
      <c r="C209" s="23" t="str">
        <f>INDEX(Active!J:J, MATCH(Spearmans2!B209, Active!F:F,0),1)</f>
        <v>Mean Precipitation</v>
      </c>
      <c r="D209" s="23" t="str">
        <f>INDEX(Active!B:B, MATCH(Spearmans2!B209, Active!F:F,0),1)</f>
        <v>Natural</v>
      </c>
      <c r="E209" s="23" t="str">
        <f>INDEX(Active!D:D, MATCH(Spearmans2!B209, Active!F:F,0),1)</f>
        <v>Climate</v>
      </c>
      <c r="F209" s="23" t="str">
        <f>INDEX(Active!K:K, MATCH(Spearmans2!B209, Active!F:F,0),1)</f>
        <v>PRISM climate data - 30-year normal mean precipitation (mm): Annual period: 2008 and 2009 within the AOI</v>
      </c>
      <c r="G209" s="33" t="s">
        <v>580</v>
      </c>
      <c r="H209" s="23" t="s">
        <v>103</v>
      </c>
      <c r="I209" s="23" t="s">
        <v>133</v>
      </c>
      <c r="J209" s="23" t="s">
        <v>581</v>
      </c>
      <c r="K209" s="56" t="s">
        <v>30</v>
      </c>
      <c r="L209" s="24" t="str">
        <f>IF(RIGHT(K209,2)="WS", LEFT(K209,LEN(K209)-2),K209)</f>
        <v>INORGNWETDEP2008</v>
      </c>
      <c r="M209" s="24" t="str">
        <f>INDEX(Active!J:J, MATCH(Spearmans2!L209, Active!F:F,0),1)</f>
        <v>Mean Annual Precipitation-Weighted Nitrogen</v>
      </c>
      <c r="N209" s="24" t="str">
        <f>INDEX(Active!B:B, MATCH(Spearmans2!L209, Active!F:F,0),1)</f>
        <v>Natural</v>
      </c>
      <c r="O209" s="24" t="str">
        <f>INDEX(Active!K:K, MATCH(Spearmans2!L209, Active!F:F,0),1)</f>
        <v>Annual gradient map of precipitation-weighted mean deposition for inorganic nitrogen wet deposition from nitrate and ammonium for 2008 in kg of N/ha/yr, within AOI</v>
      </c>
      <c r="P209" s="34" t="s">
        <v>257</v>
      </c>
      <c r="Q209" s="24" t="s">
        <v>103</v>
      </c>
      <c r="R209" s="24" t="s">
        <v>258</v>
      </c>
      <c r="S209" s="28">
        <v>0.85734586444263172</v>
      </c>
    </row>
    <row r="210" spans="1:19" s="20" customFormat="1" x14ac:dyDescent="0.3">
      <c r="A210" s="33" t="s">
        <v>29</v>
      </c>
      <c r="B210" s="23" t="str">
        <f>IF(RIGHT(A210,2)="WS", LEFT(A210,LEN(A210)-2),A210)</f>
        <v>PRECIP2008</v>
      </c>
      <c r="C210" s="23" t="str">
        <f>INDEX(Active!J:J, MATCH(Spearmans2!B210, Active!F:F,0),1)</f>
        <v>Mean Precipitation</v>
      </c>
      <c r="D210" s="23" t="str">
        <f>INDEX(Active!B:B, MATCH(Spearmans2!B210, Active!F:F,0),1)</f>
        <v>Natural</v>
      </c>
      <c r="E210" s="23" t="str">
        <f>INDEX(Active!D:D, MATCH(Spearmans2!B210, Active!F:F,0),1)</f>
        <v>Climate</v>
      </c>
      <c r="F210" s="23" t="str">
        <f>INDEX(Active!K:K, MATCH(Spearmans2!B210, Active!F:F,0),1)</f>
        <v>PRISM climate data - 30-year normal mean precipitation (mm): Annual period: 2008 and 2009 within the AOI</v>
      </c>
      <c r="G210" s="33" t="s">
        <v>580</v>
      </c>
      <c r="H210" s="23" t="s">
        <v>103</v>
      </c>
      <c r="I210" s="23" t="s">
        <v>133</v>
      </c>
      <c r="J210" s="23" t="s">
        <v>581</v>
      </c>
      <c r="K210" s="56" t="s">
        <v>28</v>
      </c>
      <c r="L210" s="24" t="str">
        <f>IF(RIGHT(K210,2)="WS", LEFT(K210,LEN(K210)-2),K210)</f>
        <v>NO32008</v>
      </c>
      <c r="M210" s="24" t="str">
        <f>INDEX(Active!J:J, MATCH(Spearmans2!L210, Active!F:F,0),1)</f>
        <v>Mean Annual Precipitation-Weighted NO3 Mean</v>
      </c>
      <c r="N210" s="24" t="str">
        <f>INDEX(Active!B:B, MATCH(Spearmans2!L210, Active!F:F,0),1)</f>
        <v>Natural</v>
      </c>
      <c r="O210" s="24" t="str">
        <f>INDEX(Active!K:K, MATCH(Spearmans2!L210, Active!F:F,0),1)</f>
        <v>Annual gradient map of precipitation-weighted mean deposition for nitrate ion concentration wet deposition for 2008 in kg of NO3/ha/yr, within AOI</v>
      </c>
      <c r="P210" s="34" t="s">
        <v>332</v>
      </c>
      <c r="Q210" s="24" t="s">
        <v>103</v>
      </c>
      <c r="R210" s="24" t="s">
        <v>333</v>
      </c>
      <c r="S210" s="28">
        <v>0.88238610844010124</v>
      </c>
    </row>
    <row r="211" spans="1:19" s="20" customFormat="1" x14ac:dyDescent="0.3">
      <c r="A211" s="33" t="s">
        <v>29</v>
      </c>
      <c r="B211" s="23" t="str">
        <f>IF(RIGHT(A211,2)="WS", LEFT(A211,LEN(A211)-2),A211)</f>
        <v>PRECIP2008</v>
      </c>
      <c r="C211" s="23" t="str">
        <f>INDEX(Active!J:J, MATCH(Spearmans2!B211, Active!F:F,0),1)</f>
        <v>Mean Precipitation</v>
      </c>
      <c r="D211" s="23" t="str">
        <f>INDEX(Active!B:B, MATCH(Spearmans2!B211, Active!F:F,0),1)</f>
        <v>Natural</v>
      </c>
      <c r="E211" s="23" t="str">
        <f>INDEX(Active!D:D, MATCH(Spearmans2!B211, Active!F:F,0),1)</f>
        <v>Climate</v>
      </c>
      <c r="F211" s="23" t="str">
        <f>INDEX(Active!K:K, MATCH(Spearmans2!B211, Active!F:F,0),1)</f>
        <v>PRISM climate data - 30-year normal mean precipitation (mm): Annual period: 2008 and 2009 within the AOI</v>
      </c>
      <c r="G211" s="33" t="s">
        <v>580</v>
      </c>
      <c r="H211" s="23" t="s">
        <v>103</v>
      </c>
      <c r="I211" s="23" t="s">
        <v>133</v>
      </c>
      <c r="J211" s="23" t="s">
        <v>581</v>
      </c>
      <c r="K211" s="56" t="s">
        <v>32</v>
      </c>
      <c r="L211" s="24" t="str">
        <f>IF(RIGHT(K211,2)="WS", LEFT(K211,LEN(K211)-2),K211)</f>
        <v>SN2008</v>
      </c>
      <c r="M211" s="24" t="str">
        <f>INDEX(Active!J:J, MATCH(Spearmans2!L211, Active!F:F,0),1)</f>
        <v>Annual Mean Sulfur and Nitrogen Wet Deposition</v>
      </c>
      <c r="N211" s="24" t="str">
        <f>INDEX(Active!B:B, MATCH(Spearmans2!L211, Active!F:F,0),1)</f>
        <v>Natural</v>
      </c>
      <c r="O211" s="24" t="str">
        <f>INDEX(Active!K:K, MATCH(Spearmans2!L211, Active!F:F,0),1)</f>
        <v>Annual gradient map of precipitation-weighted mean deposition for average sulfur &amp; nitrogen wet deposition for 2008 in kg of S+N/ha/yr, within AOI</v>
      </c>
      <c r="P211" s="34" t="s">
        <v>663</v>
      </c>
      <c r="Q211" s="24" t="s">
        <v>103</v>
      </c>
      <c r="R211" s="24" t="s">
        <v>664</v>
      </c>
      <c r="S211" s="28">
        <v>0.90654371827268165</v>
      </c>
    </row>
    <row r="212" spans="1:19" s="20" customFormat="1" x14ac:dyDescent="0.3">
      <c r="A212" s="33" t="s">
        <v>29</v>
      </c>
      <c r="B212" s="23" t="str">
        <f>IF(RIGHT(A212,2)="WS", LEFT(A212,LEN(A212)-2),A212)</f>
        <v>PRECIP2008</v>
      </c>
      <c r="C212" s="23" t="str">
        <f>INDEX(Active!J:J, MATCH(Spearmans2!B212, Active!F:F,0),1)</f>
        <v>Mean Precipitation</v>
      </c>
      <c r="D212" s="23" t="str">
        <f>INDEX(Active!B:B, MATCH(Spearmans2!B212, Active!F:F,0),1)</f>
        <v>Natural</v>
      </c>
      <c r="E212" s="23" t="str">
        <f>INDEX(Active!D:D, MATCH(Spearmans2!B212, Active!F:F,0),1)</f>
        <v>Climate</v>
      </c>
      <c r="F212" s="23" t="str">
        <f>INDEX(Active!K:K, MATCH(Spearmans2!B212, Active!F:F,0),1)</f>
        <v>PRISM climate data - 30-year normal mean precipitation (mm): Annual period: 2008 and 2009 within the AOI</v>
      </c>
      <c r="G212" s="33" t="s">
        <v>580</v>
      </c>
      <c r="H212" s="23" t="s">
        <v>103</v>
      </c>
      <c r="I212" s="23" t="s">
        <v>133</v>
      </c>
      <c r="J212" s="23" t="s">
        <v>581</v>
      </c>
      <c r="K212" s="56" t="s">
        <v>33</v>
      </c>
      <c r="L212" s="24" t="str">
        <f>IF(RIGHT(K212,2)="WS", LEFT(K212,LEN(K212)-2),K212)</f>
        <v>PRECIP9120</v>
      </c>
      <c r="M212" s="24" t="str">
        <f>INDEX(Active!J:J, MATCH(Spearmans2!L212, Active!F:F,0),1)</f>
        <v>30-year Mean Annual Precipitation</v>
      </c>
      <c r="N212" s="24" t="str">
        <f>INDEX(Active!B:B, MATCH(Spearmans2!L212, Active!F:F,0),1)</f>
        <v>Natural</v>
      </c>
      <c r="O212" s="24" t="str">
        <f>INDEX(Active!K:K, MATCH(Spearmans2!L212, Active!F:F,0),1)</f>
        <v>PRISM climate data - 30-year normal mean precipitation (mm): Annual period: 1991-2020 within the AOI</v>
      </c>
      <c r="P212" s="34" t="s">
        <v>591</v>
      </c>
      <c r="Q212" s="24" t="s">
        <v>103</v>
      </c>
      <c r="R212" s="24" t="s">
        <v>596</v>
      </c>
      <c r="S212" s="28">
        <v>0.97355099318973071</v>
      </c>
    </row>
    <row r="213" spans="1:19" s="20" customFormat="1" x14ac:dyDescent="0.3">
      <c r="A213" s="33" t="s">
        <v>29</v>
      </c>
      <c r="B213" s="23" t="str">
        <f>IF(RIGHT(A213,2)="WS", LEFT(A213,LEN(A213)-2),A213)</f>
        <v>PRECIP2008</v>
      </c>
      <c r="C213" s="23" t="str">
        <f>INDEX(Active!J:J, MATCH(Spearmans2!B213, Active!F:F,0),1)</f>
        <v>Mean Precipitation</v>
      </c>
      <c r="D213" s="23" t="str">
        <f>INDEX(Active!B:B, MATCH(Spearmans2!B213, Active!F:F,0),1)</f>
        <v>Natural</v>
      </c>
      <c r="E213" s="23" t="str">
        <f>INDEX(Active!D:D, MATCH(Spearmans2!B213, Active!F:F,0),1)</f>
        <v>Climate</v>
      </c>
      <c r="F213" s="23" t="str">
        <f>INDEX(Active!K:K, MATCH(Spearmans2!B213, Active!F:F,0),1)</f>
        <v>PRISM climate data - 30-year normal mean precipitation (mm): Annual period: 2008 and 2009 within the AOI</v>
      </c>
      <c r="G213" s="33" t="s">
        <v>580</v>
      </c>
      <c r="H213" s="23" t="s">
        <v>103</v>
      </c>
      <c r="I213" s="23" t="s">
        <v>133</v>
      </c>
      <c r="J213" s="23" t="s">
        <v>581</v>
      </c>
      <c r="K213" s="56" t="s">
        <v>27</v>
      </c>
      <c r="L213" s="24" t="str">
        <f>IF(RIGHT(K213,2)="WS", LEFT(K213,LEN(K213)-2),K213)</f>
        <v>PRECIP8110</v>
      </c>
      <c r="M213" s="24" t="str">
        <f>INDEX(Active!J:J, MATCH(Spearmans2!L213, Active!F:F,0),1)</f>
        <v>30-year Mean Annual Precipitation</v>
      </c>
      <c r="N213" s="24" t="str">
        <f>INDEX(Active!B:B, MATCH(Spearmans2!L213, Active!F:F,0),1)</f>
        <v>Natural</v>
      </c>
      <c r="O213" s="24" t="str">
        <f>INDEX(Active!K:K, MATCH(Spearmans2!L213, Active!F:F,0),1)</f>
        <v>PRISM climate data - 30-year normal mean precipitation (mm): Annual period: 1981-2010 within AOI</v>
      </c>
      <c r="P213" s="34" t="s">
        <v>591</v>
      </c>
      <c r="Q213" s="24" t="s">
        <v>103</v>
      </c>
      <c r="R213" s="24" t="s">
        <v>592</v>
      </c>
      <c r="S213" s="28">
        <v>0.98345550871867404</v>
      </c>
    </row>
    <row r="214" spans="1:19" s="21" customFormat="1" x14ac:dyDescent="0.3">
      <c r="A214" s="38" t="s">
        <v>29</v>
      </c>
      <c r="B214" s="29" t="str">
        <f>IF(RIGHT(A214,2)="WS", LEFT(A214,LEN(A214)-2),A214)</f>
        <v>PRECIP2008</v>
      </c>
      <c r="C214" s="29" t="str">
        <f>INDEX(Active!J:J, MATCH(Spearmans2!B214, Active!F:F,0),1)</f>
        <v>Mean Precipitation</v>
      </c>
      <c r="D214" s="29" t="str">
        <f>INDEX(Active!B:B, MATCH(Spearmans2!B214, Active!F:F,0),1)</f>
        <v>Natural</v>
      </c>
      <c r="E214" s="29" t="str">
        <f>INDEX(Active!D:D, MATCH(Spearmans2!B214, Active!F:F,0),1)</f>
        <v>Climate</v>
      </c>
      <c r="F214" s="29" t="str">
        <f>INDEX(Active!K:K, MATCH(Spearmans2!B214, Active!F:F,0),1)</f>
        <v>PRISM climate data - 30-year normal mean precipitation (mm): Annual period: 2008 and 2009 within the AOI</v>
      </c>
      <c r="G214" s="38" t="s">
        <v>580</v>
      </c>
      <c r="H214" s="29" t="s">
        <v>103</v>
      </c>
      <c r="I214" s="29" t="s">
        <v>133</v>
      </c>
      <c r="J214" s="29" t="s">
        <v>581</v>
      </c>
      <c r="K214" s="57" t="s">
        <v>762</v>
      </c>
      <c r="L214" s="30" t="str">
        <f>IF(RIGHT(K214,2)="WS", LEFT(K214,LEN(K214)-2),K214)</f>
        <v>PRECIP_MINUS_EVT</v>
      </c>
      <c r="M214" s="30" t="str">
        <f>INDEX(Active!J:J, MATCH(Spearmans2!L214, Active!F:F,0),1)</f>
        <v>Surplus Precipitation</v>
      </c>
      <c r="N214" s="30" t="str">
        <f>INDEX(Active!B:B, MATCH(Spearmans2!L214, Active!F:F,0),1)</f>
        <v>Natural</v>
      </c>
      <c r="O214" s="30" t="str">
        <f>INDEX(Active!K:K, MATCH(Spearmans2!L214,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14" s="53" t="s">
        <v>587</v>
      </c>
      <c r="Q214" s="30" t="s">
        <v>103</v>
      </c>
      <c r="R214" s="30" t="s">
        <v>588</v>
      </c>
      <c r="S214" s="31">
        <v>0.98654368344802978</v>
      </c>
    </row>
    <row r="215" spans="1:19" s="19" customFormat="1" x14ac:dyDescent="0.3">
      <c r="A215" s="37" t="s">
        <v>27</v>
      </c>
      <c r="B215" s="25" t="str">
        <f>IF(RIGHT(A215,2)="WS", LEFT(A215,LEN(A215)-2),A215)</f>
        <v>PRECIP8110</v>
      </c>
      <c r="C215" s="25" t="str">
        <f>INDEX(Active!J:J, MATCH(Spearmans2!B215, Active!F:F,0),1)</f>
        <v>30-year Mean Annual Precipitation</v>
      </c>
      <c r="D215" s="25" t="str">
        <f>INDEX(Active!B:B, MATCH(Spearmans2!B215, Active!F:F,0),1)</f>
        <v>Natural</v>
      </c>
      <c r="E215" s="25" t="str">
        <f>INDEX(Active!D:D, MATCH(Spearmans2!B215, Active!F:F,0),1)</f>
        <v>Climate</v>
      </c>
      <c r="F215" s="25" t="str">
        <f>INDEX(Active!K:K, MATCH(Spearmans2!B215, Active!F:F,0),1)</f>
        <v>PRISM climate data - 30-year normal mean precipitation (mm): Annual period: 1981-2010 within AOI</v>
      </c>
      <c r="G215" s="37" t="s">
        <v>591</v>
      </c>
      <c r="H215" s="25" t="s">
        <v>103</v>
      </c>
      <c r="I215" s="25" t="s">
        <v>133</v>
      </c>
      <c r="J215" s="25" t="s">
        <v>592</v>
      </c>
      <c r="K215" s="55" t="s">
        <v>18</v>
      </c>
      <c r="L215" s="26" t="str">
        <f>IF(RIGHT(K215,2)="WS", LEFT(K215,LEN(K215)-2),K215)</f>
        <v>RUNOFF</v>
      </c>
      <c r="M215" s="26" t="str">
        <f>INDEX(Active!J:J, MATCH(Spearmans2!L215, Active!F:F,0),1)</f>
        <v>Mean Runoff</v>
      </c>
      <c r="N215" s="26" t="str">
        <f>INDEX(Active!B:B, MATCH(Spearmans2!L215, Active!F:F,0),1)</f>
        <v>Natural</v>
      </c>
      <c r="O215" s="26" t="str">
        <f>INDEX(Active!K:K, MATCH(Spearmans2!L215, Active!F:F,0),1)</f>
        <v>Mean runoff (mm) within AOI</v>
      </c>
      <c r="P215" s="52" t="s">
        <v>636</v>
      </c>
      <c r="Q215" s="26" t="s">
        <v>103</v>
      </c>
      <c r="R215" s="26" t="s">
        <v>637</v>
      </c>
      <c r="S215" s="27">
        <v>0.83472140759230795</v>
      </c>
    </row>
    <row r="216" spans="1:19" s="20" customFormat="1" x14ac:dyDescent="0.3">
      <c r="A216" s="33" t="s">
        <v>27</v>
      </c>
      <c r="B216" s="23" t="str">
        <f>IF(RIGHT(A216,2)="WS", LEFT(A216,LEN(A216)-2),A216)</f>
        <v>PRECIP8110</v>
      </c>
      <c r="C216" s="23" t="str">
        <f>INDEX(Active!J:J, MATCH(Spearmans2!B216, Active!F:F,0),1)</f>
        <v>30-year Mean Annual Precipitation</v>
      </c>
      <c r="D216" s="23" t="str">
        <f>INDEX(Active!B:B, MATCH(Spearmans2!B216, Active!F:F,0),1)</f>
        <v>Natural</v>
      </c>
      <c r="E216" s="23" t="str">
        <f>INDEX(Active!D:D, MATCH(Spearmans2!B216, Active!F:F,0),1)</f>
        <v>Climate</v>
      </c>
      <c r="F216" s="23" t="str">
        <f>INDEX(Active!K:K, MATCH(Spearmans2!B216, Active!F:F,0),1)</f>
        <v>PRISM climate data - 30-year normal mean precipitation (mm): Annual period: 1981-2010 within AOI</v>
      </c>
      <c r="G216" s="33" t="s">
        <v>591</v>
      </c>
      <c r="H216" s="23" t="s">
        <v>103</v>
      </c>
      <c r="I216" s="23" t="s">
        <v>133</v>
      </c>
      <c r="J216" s="23" t="s">
        <v>592</v>
      </c>
      <c r="K216" s="56" t="s">
        <v>31</v>
      </c>
      <c r="L216" s="24" t="str">
        <f>IF(RIGHT(K216,2)="WS", LEFT(K216,LEN(K216)-2),K216)</f>
        <v>NH42008</v>
      </c>
      <c r="M216" s="24" t="str">
        <f>INDEX(Active!J:J, MATCH(Spearmans2!L216, Active!F:F,0),1)</f>
        <v>Mean annual Precipitation-Weighted NH4 Mean</v>
      </c>
      <c r="N216" s="24" t="str">
        <f>INDEX(Active!B:B, MATCH(Spearmans2!L216, Active!F:F,0),1)</f>
        <v>Natural</v>
      </c>
      <c r="O216" s="24" t="str">
        <f>INDEX(Active!K:K, MATCH(Spearmans2!L216, Active!F:F,0),1)</f>
        <v>Annual gradient map of precipitation-weighted mean deposition for ammonium ion concentration wet deposition for 2008 in kg of NH4/ha/yr, within AOI</v>
      </c>
      <c r="P216" s="34" t="s">
        <v>328</v>
      </c>
      <c r="Q216" s="24" t="s">
        <v>103</v>
      </c>
      <c r="R216" s="24" t="s">
        <v>329</v>
      </c>
      <c r="S216" s="28">
        <v>0.84664382043239461</v>
      </c>
    </row>
    <row r="217" spans="1:19" s="20" customFormat="1" x14ac:dyDescent="0.3">
      <c r="A217" s="33" t="s">
        <v>27</v>
      </c>
      <c r="B217" s="23" t="str">
        <f>IF(RIGHT(A217,2)="WS", LEFT(A217,LEN(A217)-2),A217)</f>
        <v>PRECIP8110</v>
      </c>
      <c r="C217" s="23" t="str">
        <f>INDEX(Active!J:J, MATCH(Spearmans2!B217, Active!F:F,0),1)</f>
        <v>30-year Mean Annual Precipitation</v>
      </c>
      <c r="D217" s="23" t="str">
        <f>INDEX(Active!B:B, MATCH(Spearmans2!B217, Active!F:F,0),1)</f>
        <v>Natural</v>
      </c>
      <c r="E217" s="23" t="str">
        <f>INDEX(Active!D:D, MATCH(Spearmans2!B217, Active!F:F,0),1)</f>
        <v>Climate</v>
      </c>
      <c r="F217" s="23" t="str">
        <f>INDEX(Active!K:K, MATCH(Spearmans2!B217, Active!F:F,0),1)</f>
        <v>PRISM climate data - 30-year normal mean precipitation (mm): Annual period: 1981-2010 within AOI</v>
      </c>
      <c r="G217" s="33" t="s">
        <v>591</v>
      </c>
      <c r="H217" s="23" t="s">
        <v>103</v>
      </c>
      <c r="I217" s="23" t="s">
        <v>133</v>
      </c>
      <c r="J217" s="23" t="s">
        <v>592</v>
      </c>
      <c r="K217" s="56" t="s">
        <v>30</v>
      </c>
      <c r="L217" s="24" t="str">
        <f>IF(RIGHT(K217,2)="WS", LEFT(K217,LEN(K217)-2),K217)</f>
        <v>INORGNWETDEP2008</v>
      </c>
      <c r="M217" s="24" t="str">
        <f>INDEX(Active!J:J, MATCH(Spearmans2!L217, Active!F:F,0),1)</f>
        <v>Mean Annual Precipitation-Weighted Nitrogen</v>
      </c>
      <c r="N217" s="24" t="str">
        <f>INDEX(Active!B:B, MATCH(Spearmans2!L217, Active!F:F,0),1)</f>
        <v>Natural</v>
      </c>
      <c r="O217" s="24" t="str">
        <f>INDEX(Active!K:K, MATCH(Spearmans2!L217, Active!F:F,0),1)</f>
        <v>Annual gradient map of precipitation-weighted mean deposition for inorganic nitrogen wet deposition from nitrate and ammonium for 2008 in kg of N/ha/yr, within AOI</v>
      </c>
      <c r="P217" s="34" t="s">
        <v>257</v>
      </c>
      <c r="Q217" s="24" t="s">
        <v>103</v>
      </c>
      <c r="R217" s="24" t="s">
        <v>258</v>
      </c>
      <c r="S217" s="28">
        <v>0.87175861092155105</v>
      </c>
    </row>
    <row r="218" spans="1:19" s="20" customFormat="1" x14ac:dyDescent="0.3">
      <c r="A218" s="33" t="s">
        <v>27</v>
      </c>
      <c r="B218" s="23" t="str">
        <f>IF(RIGHT(A218,2)="WS", LEFT(A218,LEN(A218)-2),A218)</f>
        <v>PRECIP8110</v>
      </c>
      <c r="C218" s="23" t="str">
        <f>INDEX(Active!J:J, MATCH(Spearmans2!B218, Active!F:F,0),1)</f>
        <v>30-year Mean Annual Precipitation</v>
      </c>
      <c r="D218" s="23" t="str">
        <f>INDEX(Active!B:B, MATCH(Spearmans2!B218, Active!F:F,0),1)</f>
        <v>Natural</v>
      </c>
      <c r="E218" s="23" t="str">
        <f>INDEX(Active!D:D, MATCH(Spearmans2!B218, Active!F:F,0),1)</f>
        <v>Climate</v>
      </c>
      <c r="F218" s="23" t="str">
        <f>INDEX(Active!K:K, MATCH(Spearmans2!B218, Active!F:F,0),1)</f>
        <v>PRISM climate data - 30-year normal mean precipitation (mm): Annual period: 1981-2010 within AOI</v>
      </c>
      <c r="G218" s="33" t="s">
        <v>591</v>
      </c>
      <c r="H218" s="23" t="s">
        <v>103</v>
      </c>
      <c r="I218" s="23" t="s">
        <v>133</v>
      </c>
      <c r="J218" s="23" t="s">
        <v>592</v>
      </c>
      <c r="K218" s="56" t="s">
        <v>28</v>
      </c>
      <c r="L218" s="24" t="str">
        <f>IF(RIGHT(K218,2)="WS", LEFT(K218,LEN(K218)-2),K218)</f>
        <v>NO32008</v>
      </c>
      <c r="M218" s="24" t="str">
        <f>INDEX(Active!J:J, MATCH(Spearmans2!L218, Active!F:F,0),1)</f>
        <v>Mean Annual Precipitation-Weighted NO3 Mean</v>
      </c>
      <c r="N218" s="24" t="str">
        <f>INDEX(Active!B:B, MATCH(Spearmans2!L218, Active!F:F,0),1)</f>
        <v>Natural</v>
      </c>
      <c r="O218" s="24" t="str">
        <f>INDEX(Active!K:K, MATCH(Spearmans2!L218, Active!F:F,0),1)</f>
        <v>Annual gradient map of precipitation-weighted mean deposition for nitrate ion concentration wet deposition for 2008 in kg of NO3/ha/yr, within AOI</v>
      </c>
      <c r="P218" s="34" t="s">
        <v>332</v>
      </c>
      <c r="Q218" s="24" t="s">
        <v>103</v>
      </c>
      <c r="R218" s="24" t="s">
        <v>333</v>
      </c>
      <c r="S218" s="28">
        <v>0.88954629614261582</v>
      </c>
    </row>
    <row r="219" spans="1:19" s="20" customFormat="1" x14ac:dyDescent="0.3">
      <c r="A219" s="33" t="s">
        <v>27</v>
      </c>
      <c r="B219" s="23" t="str">
        <f>IF(RIGHT(A219,2)="WS", LEFT(A219,LEN(A219)-2),A219)</f>
        <v>PRECIP8110</v>
      </c>
      <c r="C219" s="23" t="str">
        <f>INDEX(Active!J:J, MATCH(Spearmans2!B219, Active!F:F,0),1)</f>
        <v>30-year Mean Annual Precipitation</v>
      </c>
      <c r="D219" s="23" t="str">
        <f>INDEX(Active!B:B, MATCH(Spearmans2!B219, Active!F:F,0),1)</f>
        <v>Natural</v>
      </c>
      <c r="E219" s="23" t="str">
        <f>INDEX(Active!D:D, MATCH(Spearmans2!B219, Active!F:F,0),1)</f>
        <v>Climate</v>
      </c>
      <c r="F219" s="23" t="str">
        <f>INDEX(Active!K:K, MATCH(Spearmans2!B219, Active!F:F,0),1)</f>
        <v>PRISM climate data - 30-year normal mean precipitation (mm): Annual period: 1981-2010 within AOI</v>
      </c>
      <c r="G219" s="33" t="s">
        <v>591</v>
      </c>
      <c r="H219" s="23" t="s">
        <v>103</v>
      </c>
      <c r="I219" s="23" t="s">
        <v>133</v>
      </c>
      <c r="J219" s="23" t="s">
        <v>592</v>
      </c>
      <c r="K219" s="56" t="s">
        <v>32</v>
      </c>
      <c r="L219" s="24" t="str">
        <f>IF(RIGHT(K219,2)="WS", LEFT(K219,LEN(K219)-2),K219)</f>
        <v>SN2008</v>
      </c>
      <c r="M219" s="24" t="str">
        <f>INDEX(Active!J:J, MATCH(Spearmans2!L219, Active!F:F,0),1)</f>
        <v>Annual Mean Sulfur and Nitrogen Wet Deposition</v>
      </c>
      <c r="N219" s="24" t="str">
        <f>INDEX(Active!B:B, MATCH(Spearmans2!L219, Active!F:F,0),1)</f>
        <v>Natural</v>
      </c>
      <c r="O219" s="24" t="str">
        <f>INDEX(Active!K:K, MATCH(Spearmans2!L219, Active!F:F,0),1)</f>
        <v>Annual gradient map of precipitation-weighted mean deposition for average sulfur &amp; nitrogen wet deposition for 2008 in kg of S+N/ha/yr, within AOI</v>
      </c>
      <c r="P219" s="34" t="s">
        <v>663</v>
      </c>
      <c r="Q219" s="24" t="s">
        <v>103</v>
      </c>
      <c r="R219" s="24" t="s">
        <v>664</v>
      </c>
      <c r="S219" s="28">
        <v>0.91627176877647476</v>
      </c>
    </row>
    <row r="220" spans="1:19" s="20" customFormat="1" x14ac:dyDescent="0.3">
      <c r="A220" s="33" t="s">
        <v>27</v>
      </c>
      <c r="B220" s="23" t="str">
        <f>IF(RIGHT(A220,2)="WS", LEFT(A220,LEN(A220)-2),A220)</f>
        <v>PRECIP8110</v>
      </c>
      <c r="C220" s="23" t="str">
        <f>INDEX(Active!J:J, MATCH(Spearmans2!B220, Active!F:F,0),1)</f>
        <v>30-year Mean Annual Precipitation</v>
      </c>
      <c r="D220" s="23" t="str">
        <f>INDEX(Active!B:B, MATCH(Spearmans2!B220, Active!F:F,0),1)</f>
        <v>Natural</v>
      </c>
      <c r="E220" s="23" t="str">
        <f>INDEX(Active!D:D, MATCH(Spearmans2!B220, Active!F:F,0),1)</f>
        <v>Climate</v>
      </c>
      <c r="F220" s="23" t="str">
        <f>INDEX(Active!K:K, MATCH(Spearmans2!B220, Active!F:F,0),1)</f>
        <v>PRISM climate data - 30-year normal mean precipitation (mm): Annual period: 1981-2010 within AOI</v>
      </c>
      <c r="G220" s="33" t="s">
        <v>591</v>
      </c>
      <c r="H220" s="23" t="s">
        <v>103</v>
      </c>
      <c r="I220" s="23" t="s">
        <v>133</v>
      </c>
      <c r="J220" s="23" t="s">
        <v>592</v>
      </c>
      <c r="K220" s="56" t="s">
        <v>29</v>
      </c>
      <c r="L220" s="24" t="str">
        <f>IF(RIGHT(K220,2)="WS", LEFT(K220,LEN(K220)-2),K220)</f>
        <v>PRECIP2008</v>
      </c>
      <c r="M220" s="24" t="str">
        <f>INDEX(Active!J:J, MATCH(Spearmans2!L220, Active!F:F,0),1)</f>
        <v>Mean Precipitation</v>
      </c>
      <c r="N220" s="24" t="str">
        <f>INDEX(Active!B:B, MATCH(Spearmans2!L220, Active!F:F,0),1)</f>
        <v>Natural</v>
      </c>
      <c r="O220" s="24" t="str">
        <f>INDEX(Active!K:K, MATCH(Spearmans2!L220, Active!F:F,0),1)</f>
        <v>PRISM climate data - 30-year normal mean precipitation (mm): Annual period: 2008 and 2009 within the AOI</v>
      </c>
      <c r="P220" s="34" t="s">
        <v>580</v>
      </c>
      <c r="Q220" s="24" t="s">
        <v>103</v>
      </c>
      <c r="R220" s="24" t="s">
        <v>581</v>
      </c>
      <c r="S220" s="28">
        <v>0.98345550871867404</v>
      </c>
    </row>
    <row r="221" spans="1:19" s="20" customFormat="1" x14ac:dyDescent="0.3">
      <c r="A221" s="33" t="s">
        <v>27</v>
      </c>
      <c r="B221" s="23" t="str">
        <f>IF(RIGHT(A221,2)="WS", LEFT(A221,LEN(A221)-2),A221)</f>
        <v>PRECIP8110</v>
      </c>
      <c r="C221" s="23" t="str">
        <f>INDEX(Active!J:J, MATCH(Spearmans2!B221, Active!F:F,0),1)</f>
        <v>30-year Mean Annual Precipitation</v>
      </c>
      <c r="D221" s="23" t="str">
        <f>INDEX(Active!B:B, MATCH(Spearmans2!B221, Active!F:F,0),1)</f>
        <v>Natural</v>
      </c>
      <c r="E221" s="23" t="str">
        <f>INDEX(Active!D:D, MATCH(Spearmans2!B221, Active!F:F,0),1)</f>
        <v>Climate</v>
      </c>
      <c r="F221" s="23" t="str">
        <f>INDEX(Active!K:K, MATCH(Spearmans2!B221, Active!F:F,0),1)</f>
        <v>PRISM climate data - 30-year normal mean precipitation (mm): Annual period: 1981-2010 within AOI</v>
      </c>
      <c r="G221" s="33" t="s">
        <v>591</v>
      </c>
      <c r="H221" s="23" t="s">
        <v>103</v>
      </c>
      <c r="I221" s="23" t="s">
        <v>133</v>
      </c>
      <c r="J221" s="23" t="s">
        <v>592</v>
      </c>
      <c r="K221" s="56" t="s">
        <v>33</v>
      </c>
      <c r="L221" s="24" t="str">
        <f>IF(RIGHT(K221,2)="WS", LEFT(K221,LEN(K221)-2),K221)</f>
        <v>PRECIP9120</v>
      </c>
      <c r="M221" s="24" t="str">
        <f>INDEX(Active!J:J, MATCH(Spearmans2!L221, Active!F:F,0),1)</f>
        <v>30-year Mean Annual Precipitation</v>
      </c>
      <c r="N221" s="24" t="str">
        <f>INDEX(Active!B:B, MATCH(Spearmans2!L221, Active!F:F,0),1)</f>
        <v>Natural</v>
      </c>
      <c r="O221" s="24" t="str">
        <f>INDEX(Active!K:K, MATCH(Spearmans2!L221, Active!F:F,0),1)</f>
        <v>PRISM climate data - 30-year normal mean precipitation (mm): Annual period: 1991-2020 within the AOI</v>
      </c>
      <c r="P221" s="34" t="s">
        <v>591</v>
      </c>
      <c r="Q221" s="24" t="s">
        <v>103</v>
      </c>
      <c r="R221" s="24" t="s">
        <v>596</v>
      </c>
      <c r="S221" s="28">
        <v>0.99101418523519802</v>
      </c>
    </row>
    <row r="222" spans="1:19" s="20" customFormat="1" x14ac:dyDescent="0.3">
      <c r="A222" s="33" t="s">
        <v>27</v>
      </c>
      <c r="B222" s="23" t="str">
        <f>IF(RIGHT(A222,2)="WS", LEFT(A222,LEN(A222)-2),A222)</f>
        <v>PRECIP8110</v>
      </c>
      <c r="C222" s="23" t="str">
        <f>INDEX(Active!J:J, MATCH(Spearmans2!B222, Active!F:F,0),1)</f>
        <v>30-year Mean Annual Precipitation</v>
      </c>
      <c r="D222" s="23" t="str">
        <f>INDEX(Active!B:B, MATCH(Spearmans2!B222, Active!F:F,0),1)</f>
        <v>Natural</v>
      </c>
      <c r="E222" s="23" t="str">
        <f>INDEX(Active!D:D, MATCH(Spearmans2!B222, Active!F:F,0),1)</f>
        <v>Climate</v>
      </c>
      <c r="F222" s="23" t="str">
        <f>INDEX(Active!K:K, MATCH(Spearmans2!B222, Active!F:F,0),1)</f>
        <v>PRISM climate data - 30-year normal mean precipitation (mm): Annual period: 1981-2010 within AOI</v>
      </c>
      <c r="G222" s="33" t="s">
        <v>591</v>
      </c>
      <c r="H222" s="23" t="s">
        <v>103</v>
      </c>
      <c r="I222" s="23" t="s">
        <v>133</v>
      </c>
      <c r="J222" s="23" t="s">
        <v>592</v>
      </c>
      <c r="K222" s="56" t="s">
        <v>762</v>
      </c>
      <c r="L222" s="24" t="str">
        <f>IF(RIGHT(K222,2)="WS", LEFT(K222,LEN(K222)-2),K222)</f>
        <v>PRECIP_MINUS_EVT</v>
      </c>
      <c r="M222" s="24" t="str">
        <f>INDEX(Active!J:J, MATCH(Spearmans2!L222, Active!F:F,0),1)</f>
        <v>Surplus Precipitation</v>
      </c>
      <c r="N222" s="24" t="str">
        <f>INDEX(Active!B:B, MATCH(Spearmans2!L222, Active!F:F,0),1)</f>
        <v>Natural</v>
      </c>
      <c r="O222" s="24" t="str">
        <f>INDEX(Active!K:K, MATCH(Spearmans2!L222,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22" s="34" t="s">
        <v>587</v>
      </c>
      <c r="Q222" s="24" t="s">
        <v>103</v>
      </c>
      <c r="R222" s="24" t="s">
        <v>588</v>
      </c>
      <c r="S222" s="28">
        <v>0.99385334379871904</v>
      </c>
    </row>
    <row r="223" spans="1:19" s="20" customFormat="1" x14ac:dyDescent="0.3">
      <c r="A223" s="33" t="s">
        <v>33</v>
      </c>
      <c r="B223" s="23" t="str">
        <f>IF(RIGHT(A223,2)="WS", LEFT(A223,LEN(A223)-2),A223)</f>
        <v>PRECIP9120</v>
      </c>
      <c r="C223" s="23" t="str">
        <f>INDEX(Active!J:J, MATCH(Spearmans2!B223, Active!F:F,0),1)</f>
        <v>30-year Mean Annual Precipitation</v>
      </c>
      <c r="D223" s="23" t="str">
        <f>INDEX(Active!B:B, MATCH(Spearmans2!B223, Active!F:F,0),1)</f>
        <v>Natural</v>
      </c>
      <c r="E223" s="23" t="str">
        <f>INDEX(Active!D:D, MATCH(Spearmans2!B223, Active!F:F,0),1)</f>
        <v>Climate</v>
      </c>
      <c r="F223" s="23" t="str">
        <f>INDEX(Active!K:K, MATCH(Spearmans2!B223, Active!F:F,0),1)</f>
        <v>PRISM climate data - 30-year normal mean precipitation (mm): Annual period: 1991-2020 within the AOI</v>
      </c>
      <c r="G223" s="33" t="s">
        <v>591</v>
      </c>
      <c r="H223" s="23" t="s">
        <v>103</v>
      </c>
      <c r="I223" s="23" t="s">
        <v>133</v>
      </c>
      <c r="J223" s="23" t="s">
        <v>596</v>
      </c>
      <c r="K223" s="56" t="s">
        <v>18</v>
      </c>
      <c r="L223" s="24" t="str">
        <f>IF(RIGHT(K223,2)="WS", LEFT(K223,LEN(K223)-2),K223)</f>
        <v>RUNOFF</v>
      </c>
      <c r="M223" s="24" t="str">
        <f>INDEX(Active!J:J, MATCH(Spearmans2!L223, Active!F:F,0),1)</f>
        <v>Mean Runoff</v>
      </c>
      <c r="N223" s="24" t="str">
        <f>INDEX(Active!B:B, MATCH(Spearmans2!L223, Active!F:F,0),1)</f>
        <v>Natural</v>
      </c>
      <c r="O223" s="24" t="str">
        <f>INDEX(Active!K:K, MATCH(Spearmans2!L223, Active!F:F,0),1)</f>
        <v>Mean runoff (mm) within AOI</v>
      </c>
      <c r="P223" s="34" t="s">
        <v>636</v>
      </c>
      <c r="Q223" s="24" t="s">
        <v>103</v>
      </c>
      <c r="R223" s="24" t="s">
        <v>637</v>
      </c>
      <c r="S223" s="28">
        <v>0.84073599797138321</v>
      </c>
    </row>
    <row r="224" spans="1:19" s="20" customFormat="1" x14ac:dyDescent="0.3">
      <c r="A224" s="33" t="s">
        <v>33</v>
      </c>
      <c r="B224" s="23" t="str">
        <f>IF(RIGHT(A224,2)="WS", LEFT(A224,LEN(A224)-2),A224)</f>
        <v>PRECIP9120</v>
      </c>
      <c r="C224" s="23" t="str">
        <f>INDEX(Active!J:J, MATCH(Spearmans2!B224, Active!F:F,0),1)</f>
        <v>30-year Mean Annual Precipitation</v>
      </c>
      <c r="D224" s="23" t="str">
        <f>INDEX(Active!B:B, MATCH(Spearmans2!B224, Active!F:F,0),1)</f>
        <v>Natural</v>
      </c>
      <c r="E224" s="23" t="str">
        <f>INDEX(Active!D:D, MATCH(Spearmans2!B224, Active!F:F,0),1)</f>
        <v>Climate</v>
      </c>
      <c r="F224" s="23" t="str">
        <f>INDEX(Active!K:K, MATCH(Spearmans2!B224, Active!F:F,0),1)</f>
        <v>PRISM climate data - 30-year normal mean precipitation (mm): Annual period: 1991-2020 within the AOI</v>
      </c>
      <c r="G224" s="33" t="s">
        <v>591</v>
      </c>
      <c r="H224" s="23" t="s">
        <v>103</v>
      </c>
      <c r="I224" s="23" t="s">
        <v>133</v>
      </c>
      <c r="J224" s="23" t="s">
        <v>596</v>
      </c>
      <c r="K224" s="56" t="s">
        <v>31</v>
      </c>
      <c r="L224" s="24" t="str">
        <f>IF(RIGHT(K224,2)="WS", LEFT(K224,LEN(K224)-2),K224)</f>
        <v>NH42008</v>
      </c>
      <c r="M224" s="24" t="str">
        <f>INDEX(Active!J:J, MATCH(Spearmans2!L224, Active!F:F,0),1)</f>
        <v>Mean annual Precipitation-Weighted NH4 Mean</v>
      </c>
      <c r="N224" s="24" t="str">
        <f>INDEX(Active!B:B, MATCH(Spearmans2!L224, Active!F:F,0),1)</f>
        <v>Natural</v>
      </c>
      <c r="O224" s="24" t="str">
        <f>INDEX(Active!K:K, MATCH(Spearmans2!L224, Active!F:F,0),1)</f>
        <v>Annual gradient map of precipitation-weighted mean deposition for ammonium ion concentration wet deposition for 2008 in kg of NH4/ha/yr, within AOI</v>
      </c>
      <c r="P224" s="34" t="s">
        <v>328</v>
      </c>
      <c r="Q224" s="24" t="s">
        <v>103</v>
      </c>
      <c r="R224" s="24" t="s">
        <v>329</v>
      </c>
      <c r="S224" s="28">
        <v>0.84792858410393335</v>
      </c>
    </row>
    <row r="225" spans="1:19" s="20" customFormat="1" x14ac:dyDescent="0.3">
      <c r="A225" s="33" t="s">
        <v>33</v>
      </c>
      <c r="B225" s="23" t="str">
        <f>IF(RIGHT(A225,2)="WS", LEFT(A225,LEN(A225)-2),A225)</f>
        <v>PRECIP9120</v>
      </c>
      <c r="C225" s="23" t="str">
        <f>INDEX(Active!J:J, MATCH(Spearmans2!B225, Active!F:F,0),1)</f>
        <v>30-year Mean Annual Precipitation</v>
      </c>
      <c r="D225" s="23" t="str">
        <f>INDEX(Active!B:B, MATCH(Spearmans2!B225, Active!F:F,0),1)</f>
        <v>Natural</v>
      </c>
      <c r="E225" s="23" t="str">
        <f>INDEX(Active!D:D, MATCH(Spearmans2!B225, Active!F:F,0),1)</f>
        <v>Climate</v>
      </c>
      <c r="F225" s="23" t="str">
        <f>INDEX(Active!K:K, MATCH(Spearmans2!B225, Active!F:F,0),1)</f>
        <v>PRISM climate data - 30-year normal mean precipitation (mm): Annual period: 1991-2020 within the AOI</v>
      </c>
      <c r="G225" s="33" t="s">
        <v>591</v>
      </c>
      <c r="H225" s="23" t="s">
        <v>103</v>
      </c>
      <c r="I225" s="23" t="s">
        <v>133</v>
      </c>
      <c r="J225" s="23" t="s">
        <v>596</v>
      </c>
      <c r="K225" s="56" t="s">
        <v>30</v>
      </c>
      <c r="L225" s="24" t="str">
        <f>IF(RIGHT(K225,2)="WS", LEFT(K225,LEN(K225)-2),K225)</f>
        <v>INORGNWETDEP2008</v>
      </c>
      <c r="M225" s="24" t="str">
        <f>INDEX(Active!J:J, MATCH(Spearmans2!L225, Active!F:F,0),1)</f>
        <v>Mean Annual Precipitation-Weighted Nitrogen</v>
      </c>
      <c r="N225" s="24" t="str">
        <f>INDEX(Active!B:B, MATCH(Spearmans2!L225, Active!F:F,0),1)</f>
        <v>Natural</v>
      </c>
      <c r="O225" s="24" t="str">
        <f>INDEX(Active!K:K, MATCH(Spearmans2!L225, Active!F:F,0),1)</f>
        <v>Annual gradient map of precipitation-weighted mean deposition for inorganic nitrogen wet deposition from nitrate and ammonium for 2008 in kg of N/ha/yr, within AOI</v>
      </c>
      <c r="P225" s="34" t="s">
        <v>257</v>
      </c>
      <c r="Q225" s="24" t="s">
        <v>103</v>
      </c>
      <c r="R225" s="24" t="s">
        <v>258</v>
      </c>
      <c r="S225" s="28">
        <v>0.87357649770585999</v>
      </c>
    </row>
    <row r="226" spans="1:19" s="20" customFormat="1" x14ac:dyDescent="0.3">
      <c r="A226" s="33" t="s">
        <v>33</v>
      </c>
      <c r="B226" s="23" t="str">
        <f>IF(RIGHT(A226,2)="WS", LEFT(A226,LEN(A226)-2),A226)</f>
        <v>PRECIP9120</v>
      </c>
      <c r="C226" s="23" t="str">
        <f>INDEX(Active!J:J, MATCH(Spearmans2!B226, Active!F:F,0),1)</f>
        <v>30-year Mean Annual Precipitation</v>
      </c>
      <c r="D226" s="23" t="str">
        <f>INDEX(Active!B:B, MATCH(Spearmans2!B226, Active!F:F,0),1)</f>
        <v>Natural</v>
      </c>
      <c r="E226" s="23" t="str">
        <f>INDEX(Active!D:D, MATCH(Spearmans2!B226, Active!F:F,0),1)</f>
        <v>Climate</v>
      </c>
      <c r="F226" s="23" t="str">
        <f>INDEX(Active!K:K, MATCH(Spearmans2!B226, Active!F:F,0),1)</f>
        <v>PRISM climate data - 30-year normal mean precipitation (mm): Annual period: 1991-2020 within the AOI</v>
      </c>
      <c r="G226" s="33" t="s">
        <v>591</v>
      </c>
      <c r="H226" s="23" t="s">
        <v>103</v>
      </c>
      <c r="I226" s="23" t="s">
        <v>133</v>
      </c>
      <c r="J226" s="23" t="s">
        <v>596</v>
      </c>
      <c r="K226" s="56" t="s">
        <v>28</v>
      </c>
      <c r="L226" s="24" t="str">
        <f>IF(RIGHT(K226,2)="WS", LEFT(K226,LEN(K226)-2),K226)</f>
        <v>NO32008</v>
      </c>
      <c r="M226" s="24" t="str">
        <f>INDEX(Active!J:J, MATCH(Spearmans2!L226, Active!F:F,0),1)</f>
        <v>Mean Annual Precipitation-Weighted NO3 Mean</v>
      </c>
      <c r="N226" s="24" t="str">
        <f>INDEX(Active!B:B, MATCH(Spearmans2!L226, Active!F:F,0),1)</f>
        <v>Natural</v>
      </c>
      <c r="O226" s="24" t="str">
        <f>INDEX(Active!K:K, MATCH(Spearmans2!L226, Active!F:F,0),1)</f>
        <v>Annual gradient map of precipitation-weighted mean deposition for nitrate ion concentration wet deposition for 2008 in kg of NO3/ha/yr, within AOI</v>
      </c>
      <c r="P226" s="34" t="s">
        <v>332</v>
      </c>
      <c r="Q226" s="24" t="s">
        <v>103</v>
      </c>
      <c r="R226" s="24" t="s">
        <v>333</v>
      </c>
      <c r="S226" s="28">
        <v>0.89235029560104639</v>
      </c>
    </row>
    <row r="227" spans="1:19" s="20" customFormat="1" x14ac:dyDescent="0.3">
      <c r="A227" s="33" t="s">
        <v>33</v>
      </c>
      <c r="B227" s="23" t="str">
        <f>IF(RIGHT(A227,2)="WS", LEFT(A227,LEN(A227)-2),A227)</f>
        <v>PRECIP9120</v>
      </c>
      <c r="C227" s="23" t="str">
        <f>INDEX(Active!J:J, MATCH(Spearmans2!B227, Active!F:F,0),1)</f>
        <v>30-year Mean Annual Precipitation</v>
      </c>
      <c r="D227" s="23" t="str">
        <f>INDEX(Active!B:B, MATCH(Spearmans2!B227, Active!F:F,0),1)</f>
        <v>Natural</v>
      </c>
      <c r="E227" s="23" t="str">
        <f>INDEX(Active!D:D, MATCH(Spearmans2!B227, Active!F:F,0),1)</f>
        <v>Climate</v>
      </c>
      <c r="F227" s="23" t="str">
        <f>INDEX(Active!K:K, MATCH(Spearmans2!B227, Active!F:F,0),1)</f>
        <v>PRISM climate data - 30-year normal mean precipitation (mm): Annual period: 1991-2020 within the AOI</v>
      </c>
      <c r="G227" s="33" t="s">
        <v>591</v>
      </c>
      <c r="H227" s="23" t="s">
        <v>103</v>
      </c>
      <c r="I227" s="23" t="s">
        <v>133</v>
      </c>
      <c r="J227" s="23" t="s">
        <v>596</v>
      </c>
      <c r="K227" s="56" t="s">
        <v>32</v>
      </c>
      <c r="L227" s="24" t="str">
        <f>IF(RIGHT(K227,2)="WS", LEFT(K227,LEN(K227)-2),K227)</f>
        <v>SN2008</v>
      </c>
      <c r="M227" s="24" t="str">
        <f>INDEX(Active!J:J, MATCH(Spearmans2!L227, Active!F:F,0),1)</f>
        <v>Annual Mean Sulfur and Nitrogen Wet Deposition</v>
      </c>
      <c r="N227" s="24" t="str">
        <f>INDEX(Active!B:B, MATCH(Spearmans2!L227, Active!F:F,0),1)</f>
        <v>Natural</v>
      </c>
      <c r="O227" s="24" t="str">
        <f>INDEX(Active!K:K, MATCH(Spearmans2!L227, Active!F:F,0),1)</f>
        <v>Annual gradient map of precipitation-weighted mean deposition for average sulfur &amp; nitrogen wet deposition for 2008 in kg of S+N/ha/yr, within AOI</v>
      </c>
      <c r="P227" s="34" t="s">
        <v>663</v>
      </c>
      <c r="Q227" s="24" t="s">
        <v>103</v>
      </c>
      <c r="R227" s="24" t="s">
        <v>664</v>
      </c>
      <c r="S227" s="28">
        <v>0.91305763253359595</v>
      </c>
    </row>
    <row r="228" spans="1:19" s="20" customFormat="1" x14ac:dyDescent="0.3">
      <c r="A228" s="33" t="s">
        <v>33</v>
      </c>
      <c r="B228" s="23" t="str">
        <f>IF(RIGHT(A228,2)="WS", LEFT(A228,LEN(A228)-2),A228)</f>
        <v>PRECIP9120</v>
      </c>
      <c r="C228" s="23" t="str">
        <f>INDEX(Active!J:J, MATCH(Spearmans2!B228, Active!F:F,0),1)</f>
        <v>30-year Mean Annual Precipitation</v>
      </c>
      <c r="D228" s="23" t="str">
        <f>INDEX(Active!B:B, MATCH(Spearmans2!B228, Active!F:F,0),1)</f>
        <v>Natural</v>
      </c>
      <c r="E228" s="23" t="str">
        <f>INDEX(Active!D:D, MATCH(Spearmans2!B228, Active!F:F,0),1)</f>
        <v>Climate</v>
      </c>
      <c r="F228" s="23" t="str">
        <f>INDEX(Active!K:K, MATCH(Spearmans2!B228, Active!F:F,0),1)</f>
        <v>PRISM climate data - 30-year normal mean precipitation (mm): Annual period: 1991-2020 within the AOI</v>
      </c>
      <c r="G228" s="33" t="s">
        <v>591</v>
      </c>
      <c r="H228" s="23" t="s">
        <v>103</v>
      </c>
      <c r="I228" s="23" t="s">
        <v>133</v>
      </c>
      <c r="J228" s="23" t="s">
        <v>596</v>
      </c>
      <c r="K228" s="56" t="s">
        <v>29</v>
      </c>
      <c r="L228" s="24" t="str">
        <f>IF(RIGHT(K228,2)="WS", LEFT(K228,LEN(K228)-2),K228)</f>
        <v>PRECIP2008</v>
      </c>
      <c r="M228" s="24" t="str">
        <f>INDEX(Active!J:J, MATCH(Spearmans2!L228, Active!F:F,0),1)</f>
        <v>Mean Precipitation</v>
      </c>
      <c r="N228" s="24" t="str">
        <f>INDEX(Active!B:B, MATCH(Spearmans2!L228, Active!F:F,0),1)</f>
        <v>Natural</v>
      </c>
      <c r="O228" s="24" t="str">
        <f>INDEX(Active!K:K, MATCH(Spearmans2!L228, Active!F:F,0),1)</f>
        <v>PRISM climate data - 30-year normal mean precipitation (mm): Annual period: 2008 and 2009 within the AOI</v>
      </c>
      <c r="P228" s="34" t="s">
        <v>580</v>
      </c>
      <c r="Q228" s="24" t="s">
        <v>103</v>
      </c>
      <c r="R228" s="24" t="s">
        <v>581</v>
      </c>
      <c r="S228" s="28">
        <v>0.97355099318973071</v>
      </c>
    </row>
    <row r="229" spans="1:19" s="20" customFormat="1" x14ac:dyDescent="0.3">
      <c r="A229" s="33" t="s">
        <v>33</v>
      </c>
      <c r="B229" s="23" t="str">
        <f>IF(RIGHT(A229,2)="WS", LEFT(A229,LEN(A229)-2),A229)</f>
        <v>PRECIP9120</v>
      </c>
      <c r="C229" s="23" t="str">
        <f>INDEX(Active!J:J, MATCH(Spearmans2!B229, Active!F:F,0),1)</f>
        <v>30-year Mean Annual Precipitation</v>
      </c>
      <c r="D229" s="23" t="str">
        <f>INDEX(Active!B:B, MATCH(Spearmans2!B229, Active!F:F,0),1)</f>
        <v>Natural</v>
      </c>
      <c r="E229" s="23" t="str">
        <f>INDEX(Active!D:D, MATCH(Spearmans2!B229, Active!F:F,0),1)</f>
        <v>Climate</v>
      </c>
      <c r="F229" s="23" t="str">
        <f>INDEX(Active!K:K, MATCH(Spearmans2!B229, Active!F:F,0),1)</f>
        <v>PRISM climate data - 30-year normal mean precipitation (mm): Annual period: 1991-2020 within the AOI</v>
      </c>
      <c r="G229" s="33" t="s">
        <v>591</v>
      </c>
      <c r="H229" s="23" t="s">
        <v>103</v>
      </c>
      <c r="I229" s="23" t="s">
        <v>133</v>
      </c>
      <c r="J229" s="23" t="s">
        <v>596</v>
      </c>
      <c r="K229" s="56" t="s">
        <v>762</v>
      </c>
      <c r="L229" s="24" t="str">
        <f>IF(RIGHT(K229,2)="WS", LEFT(K229,LEN(K229)-2),K229)</f>
        <v>PRECIP_MINUS_EVT</v>
      </c>
      <c r="M229" s="24" t="str">
        <f>INDEX(Active!J:J, MATCH(Spearmans2!L229, Active!F:F,0),1)</f>
        <v>Surplus Precipitation</v>
      </c>
      <c r="N229" s="24" t="str">
        <f>INDEX(Active!B:B, MATCH(Spearmans2!L229, Active!F:F,0),1)</f>
        <v>Natural</v>
      </c>
      <c r="O229" s="24" t="str">
        <f>INDEX(Active!K:K, MATCH(Spearmans2!L229,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29" s="34" t="s">
        <v>587</v>
      </c>
      <c r="Q229" s="24" t="s">
        <v>103</v>
      </c>
      <c r="R229" s="24" t="s">
        <v>588</v>
      </c>
      <c r="S229" s="28">
        <v>0.98490110325869029</v>
      </c>
    </row>
    <row r="230" spans="1:19" s="21" customFormat="1" x14ac:dyDescent="0.3">
      <c r="A230" s="38" t="s">
        <v>33</v>
      </c>
      <c r="B230" s="29" t="str">
        <f>IF(RIGHT(A230,2)="WS", LEFT(A230,LEN(A230)-2),A230)</f>
        <v>PRECIP9120</v>
      </c>
      <c r="C230" s="29" t="str">
        <f>INDEX(Active!J:J, MATCH(Spearmans2!B230, Active!F:F,0),1)</f>
        <v>30-year Mean Annual Precipitation</v>
      </c>
      <c r="D230" s="29" t="str">
        <f>INDEX(Active!B:B, MATCH(Spearmans2!B230, Active!F:F,0),1)</f>
        <v>Natural</v>
      </c>
      <c r="E230" s="29" t="str">
        <f>INDEX(Active!D:D, MATCH(Spearmans2!B230, Active!F:F,0),1)</f>
        <v>Climate</v>
      </c>
      <c r="F230" s="29" t="str">
        <f>INDEX(Active!K:K, MATCH(Spearmans2!B230, Active!F:F,0),1)</f>
        <v>PRISM climate data - 30-year normal mean precipitation (mm): Annual period: 1991-2020 within the AOI</v>
      </c>
      <c r="G230" s="38" t="s">
        <v>591</v>
      </c>
      <c r="H230" s="29" t="s">
        <v>103</v>
      </c>
      <c r="I230" s="29" t="s">
        <v>133</v>
      </c>
      <c r="J230" s="29" t="s">
        <v>596</v>
      </c>
      <c r="K230" s="57" t="s">
        <v>27</v>
      </c>
      <c r="L230" s="30" t="str">
        <f>IF(RIGHT(K230,2)="WS", LEFT(K230,LEN(K230)-2),K230)</f>
        <v>PRECIP8110</v>
      </c>
      <c r="M230" s="30" t="str">
        <f>INDEX(Active!J:J, MATCH(Spearmans2!L230, Active!F:F,0),1)</f>
        <v>30-year Mean Annual Precipitation</v>
      </c>
      <c r="N230" s="30" t="str">
        <f>INDEX(Active!B:B, MATCH(Spearmans2!L230, Active!F:F,0),1)</f>
        <v>Natural</v>
      </c>
      <c r="O230" s="30" t="str">
        <f>INDEX(Active!K:K, MATCH(Spearmans2!L230, Active!F:F,0),1)</f>
        <v>PRISM climate data - 30-year normal mean precipitation (mm): Annual period: 1981-2010 within AOI</v>
      </c>
      <c r="P230" s="53" t="s">
        <v>591</v>
      </c>
      <c r="Q230" s="30" t="s">
        <v>103</v>
      </c>
      <c r="R230" s="30" t="s">
        <v>592</v>
      </c>
      <c r="S230" s="31">
        <v>0.99101418523519802</v>
      </c>
    </row>
    <row r="231" spans="1:19" s="19" customFormat="1" x14ac:dyDescent="0.3">
      <c r="A231" s="37" t="s">
        <v>18</v>
      </c>
      <c r="B231" s="25" t="str">
        <f>IF(RIGHT(A231,2)="WS", LEFT(A231,LEN(A231)-2),A231)</f>
        <v>RUNOFF</v>
      </c>
      <c r="C231" s="25" t="str">
        <f>INDEX(Active!J:J, MATCH(Spearmans2!B231, Active!F:F,0),1)</f>
        <v>Mean Runoff</v>
      </c>
      <c r="D231" s="25" t="str">
        <f>INDEX(Active!B:B, MATCH(Spearmans2!B231, Active!F:F,0),1)</f>
        <v>Natural</v>
      </c>
      <c r="E231" s="25" t="str">
        <f>INDEX(Active!D:D, MATCH(Spearmans2!B231, Active!F:F,0),1)</f>
        <v>Flow</v>
      </c>
      <c r="F231" s="25" t="str">
        <f>INDEX(Active!K:K, MATCH(Spearmans2!B231, Active!F:F,0),1)</f>
        <v>Mean runoff (mm) within AOI</v>
      </c>
      <c r="G231" s="37" t="s">
        <v>636</v>
      </c>
      <c r="H231" s="25" t="s">
        <v>103</v>
      </c>
      <c r="I231" s="25" t="s">
        <v>134</v>
      </c>
      <c r="J231" s="25" t="s">
        <v>637</v>
      </c>
      <c r="K231" s="55" t="s">
        <v>29</v>
      </c>
      <c r="L231" s="26" t="str">
        <f>IF(RIGHT(K231,2)="WS", LEFT(K231,LEN(K231)-2),K231)</f>
        <v>PRECIP2008</v>
      </c>
      <c r="M231" s="26" t="str">
        <f>INDEX(Active!J:J, MATCH(Spearmans2!L231, Active!F:F,0),1)</f>
        <v>Mean Precipitation</v>
      </c>
      <c r="N231" s="26" t="str">
        <f>INDEX(Active!B:B, MATCH(Spearmans2!L231, Active!F:F,0),1)</f>
        <v>Natural</v>
      </c>
      <c r="O231" s="26" t="str">
        <f>INDEX(Active!K:K, MATCH(Spearmans2!L231, Active!F:F,0),1)</f>
        <v>PRISM climate data - 30-year normal mean precipitation (mm): Annual period: 2008 and 2009 within the AOI</v>
      </c>
      <c r="P231" s="52" t="s">
        <v>580</v>
      </c>
      <c r="Q231" s="26" t="s">
        <v>103</v>
      </c>
      <c r="R231" s="26" t="s">
        <v>581</v>
      </c>
      <c r="S231" s="27">
        <v>0.8033499524471901</v>
      </c>
    </row>
    <row r="232" spans="1:19" s="20" customFormat="1" x14ac:dyDescent="0.3">
      <c r="A232" s="33" t="s">
        <v>18</v>
      </c>
      <c r="B232" s="23" t="str">
        <f>IF(RIGHT(A232,2)="WS", LEFT(A232,LEN(A232)-2),A232)</f>
        <v>RUNOFF</v>
      </c>
      <c r="C232" s="23" t="str">
        <f>INDEX(Active!J:J, MATCH(Spearmans2!B232, Active!F:F,0),1)</f>
        <v>Mean Runoff</v>
      </c>
      <c r="D232" s="23" t="str">
        <f>INDEX(Active!B:B, MATCH(Spearmans2!B232, Active!F:F,0),1)</f>
        <v>Natural</v>
      </c>
      <c r="E232" s="23" t="str">
        <f>INDEX(Active!D:D, MATCH(Spearmans2!B232, Active!F:F,0),1)</f>
        <v>Flow</v>
      </c>
      <c r="F232" s="23" t="str">
        <f>INDEX(Active!K:K, MATCH(Spearmans2!B232, Active!F:F,0),1)</f>
        <v>Mean runoff (mm) within AOI</v>
      </c>
      <c r="G232" s="33" t="s">
        <v>636</v>
      </c>
      <c r="H232" s="23" t="s">
        <v>103</v>
      </c>
      <c r="I232" s="23" t="s">
        <v>134</v>
      </c>
      <c r="J232" s="23" t="s">
        <v>637</v>
      </c>
      <c r="K232" s="56" t="s">
        <v>762</v>
      </c>
      <c r="L232" s="24" t="str">
        <f>IF(RIGHT(K232,2)="WS", LEFT(K232,LEN(K232)-2),K232)</f>
        <v>PRECIP_MINUS_EVT</v>
      </c>
      <c r="M232" s="24" t="str">
        <f>INDEX(Active!J:J, MATCH(Spearmans2!L232, Active!F:F,0),1)</f>
        <v>Surplus Precipitation</v>
      </c>
      <c r="N232" s="24" t="str">
        <f>INDEX(Active!B:B, MATCH(Spearmans2!L232, Active!F:F,0),1)</f>
        <v>Natural</v>
      </c>
      <c r="O232" s="24" t="str">
        <f>INDEX(Active!K:K, MATCH(Spearmans2!L232,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32" s="34" t="s">
        <v>587</v>
      </c>
      <c r="Q232" s="24" t="s">
        <v>103</v>
      </c>
      <c r="R232" s="24" t="s">
        <v>588</v>
      </c>
      <c r="S232" s="28">
        <v>0.82793286982249725</v>
      </c>
    </row>
    <row r="233" spans="1:19" s="20" customFormat="1" x14ac:dyDescent="0.3">
      <c r="A233" s="33" t="s">
        <v>18</v>
      </c>
      <c r="B233" s="23" t="str">
        <f>IF(RIGHT(A233,2)="WS", LEFT(A233,LEN(A233)-2),A233)</f>
        <v>RUNOFF</v>
      </c>
      <c r="C233" s="23" t="str">
        <f>INDEX(Active!J:J, MATCH(Spearmans2!B233, Active!F:F,0),1)</f>
        <v>Mean Runoff</v>
      </c>
      <c r="D233" s="23" t="str">
        <f>INDEX(Active!B:B, MATCH(Spearmans2!B233, Active!F:F,0),1)</f>
        <v>Natural</v>
      </c>
      <c r="E233" s="23" t="str">
        <f>INDEX(Active!D:D, MATCH(Spearmans2!B233, Active!F:F,0),1)</f>
        <v>Flow</v>
      </c>
      <c r="F233" s="23" t="str">
        <f>INDEX(Active!K:K, MATCH(Spearmans2!B233, Active!F:F,0),1)</f>
        <v>Mean runoff (mm) within AOI</v>
      </c>
      <c r="G233" s="33" t="s">
        <v>636</v>
      </c>
      <c r="H233" s="23" t="s">
        <v>103</v>
      </c>
      <c r="I233" s="23" t="s">
        <v>134</v>
      </c>
      <c r="J233" s="23" t="s">
        <v>637</v>
      </c>
      <c r="K233" s="56" t="s">
        <v>27</v>
      </c>
      <c r="L233" s="24" t="str">
        <f>IF(RIGHT(K233,2)="WS", LEFT(K233,LEN(K233)-2),K233)</f>
        <v>PRECIP8110</v>
      </c>
      <c r="M233" s="24" t="str">
        <f>INDEX(Active!J:J, MATCH(Spearmans2!L233, Active!F:F,0),1)</f>
        <v>30-year Mean Annual Precipitation</v>
      </c>
      <c r="N233" s="24" t="str">
        <f>INDEX(Active!B:B, MATCH(Spearmans2!L233, Active!F:F,0),1)</f>
        <v>Natural</v>
      </c>
      <c r="O233" s="24" t="str">
        <f>INDEX(Active!K:K, MATCH(Spearmans2!L233, Active!F:F,0),1)</f>
        <v>PRISM climate data - 30-year normal mean precipitation (mm): Annual period: 1981-2010 within AOI</v>
      </c>
      <c r="P233" s="34" t="s">
        <v>591</v>
      </c>
      <c r="Q233" s="24" t="s">
        <v>103</v>
      </c>
      <c r="R233" s="24" t="s">
        <v>592</v>
      </c>
      <c r="S233" s="28">
        <v>0.83472140759230795</v>
      </c>
    </row>
    <row r="234" spans="1:19" s="20" customFormat="1" x14ac:dyDescent="0.3">
      <c r="A234" s="33" t="s">
        <v>18</v>
      </c>
      <c r="B234" s="23" t="str">
        <f>IF(RIGHT(A234,2)="WS", LEFT(A234,LEN(A234)-2),A234)</f>
        <v>RUNOFF</v>
      </c>
      <c r="C234" s="23" t="str">
        <f>INDEX(Active!J:J, MATCH(Spearmans2!B234, Active!F:F,0),1)</f>
        <v>Mean Runoff</v>
      </c>
      <c r="D234" s="23" t="str">
        <f>INDEX(Active!B:B, MATCH(Spearmans2!B234, Active!F:F,0),1)</f>
        <v>Natural</v>
      </c>
      <c r="E234" s="23" t="str">
        <f>INDEX(Active!D:D, MATCH(Spearmans2!B234, Active!F:F,0),1)</f>
        <v>Flow</v>
      </c>
      <c r="F234" s="23" t="str">
        <f>INDEX(Active!K:K, MATCH(Spearmans2!B234, Active!F:F,0),1)</f>
        <v>Mean runoff (mm) within AOI</v>
      </c>
      <c r="G234" s="33" t="s">
        <v>636</v>
      </c>
      <c r="H234" s="23" t="s">
        <v>103</v>
      </c>
      <c r="I234" s="23" t="s">
        <v>134</v>
      </c>
      <c r="J234" s="23" t="s">
        <v>637</v>
      </c>
      <c r="K234" s="56" t="s">
        <v>33</v>
      </c>
      <c r="L234" s="24" t="str">
        <f>IF(RIGHT(K234,2)="WS", LEFT(K234,LEN(K234)-2),K234)</f>
        <v>PRECIP9120</v>
      </c>
      <c r="M234" s="24" t="str">
        <f>INDEX(Active!J:J, MATCH(Spearmans2!L234, Active!F:F,0),1)</f>
        <v>30-year Mean Annual Precipitation</v>
      </c>
      <c r="N234" s="24" t="str">
        <f>INDEX(Active!B:B, MATCH(Spearmans2!L234, Active!F:F,0),1)</f>
        <v>Natural</v>
      </c>
      <c r="O234" s="24" t="str">
        <f>INDEX(Active!K:K, MATCH(Spearmans2!L234, Active!F:F,0),1)</f>
        <v>PRISM climate data - 30-year normal mean precipitation (mm): Annual period: 1991-2020 within the AOI</v>
      </c>
      <c r="P234" s="34" t="s">
        <v>591</v>
      </c>
      <c r="Q234" s="24" t="s">
        <v>103</v>
      </c>
      <c r="R234" s="24" t="s">
        <v>596</v>
      </c>
      <c r="S234" s="28">
        <v>0.84073599797138321</v>
      </c>
    </row>
    <row r="235" spans="1:19" s="21" customFormat="1" x14ac:dyDescent="0.3">
      <c r="A235" s="38" t="s">
        <v>18</v>
      </c>
      <c r="B235" s="29" t="str">
        <f>IF(RIGHT(A235,2)="WS", LEFT(A235,LEN(A235)-2),A235)</f>
        <v>RUNOFF</v>
      </c>
      <c r="C235" s="29" t="str">
        <f>INDEX(Active!J:J, MATCH(Spearmans2!B235, Active!F:F,0),1)</f>
        <v>Mean Runoff</v>
      </c>
      <c r="D235" s="29" t="str">
        <f>INDEX(Active!B:B, MATCH(Spearmans2!B235, Active!F:F,0),1)</f>
        <v>Natural</v>
      </c>
      <c r="E235" s="29" t="str">
        <f>INDEX(Active!D:D, MATCH(Spearmans2!B235, Active!F:F,0),1)</f>
        <v>Flow</v>
      </c>
      <c r="F235" s="29" t="str">
        <f>INDEX(Active!K:K, MATCH(Spearmans2!B235, Active!F:F,0),1)</f>
        <v>Mean runoff (mm) within AOI</v>
      </c>
      <c r="G235" s="38" t="s">
        <v>636</v>
      </c>
      <c r="H235" s="29" t="s">
        <v>103</v>
      </c>
      <c r="I235" s="29" t="s">
        <v>134</v>
      </c>
      <c r="J235" s="29" t="s">
        <v>637</v>
      </c>
      <c r="K235" s="57" t="s">
        <v>17</v>
      </c>
      <c r="L235" s="30" t="str">
        <f>IF(RIGHT(K235,2)="WS", LEFT(K235,LEN(K235)-2),K235)</f>
        <v>SW_FLUX</v>
      </c>
      <c r="M235" s="30" t="str">
        <f>INDEX(Active!J:J, MATCH(Spearmans2!L235, Active!F:F,0),1)</f>
        <v>Surface Water Nitrogen Flux</v>
      </c>
      <c r="N235" s="30" t="str">
        <f>INDEX(Active!B:B, MATCH(Spearmans2!L235, Active!F:F,0),1)</f>
        <v>Anthropogenic</v>
      </c>
      <c r="O235" s="30" t="str">
        <f>INDEX(Active!K:K, MATCH(Spearmans2!L235, Active!F:F,0),1)</f>
        <v>Estimated surface water TN flux (kg N / km2) within AOI</v>
      </c>
      <c r="P235" s="53" t="s">
        <v>671</v>
      </c>
      <c r="Q235" s="30" t="s">
        <v>92</v>
      </c>
      <c r="R235" s="30" t="s">
        <v>672</v>
      </c>
      <c r="S235" s="31">
        <v>0.8602197792314743</v>
      </c>
    </row>
    <row r="236" spans="1:19" s="36" customFormat="1" x14ac:dyDescent="0.3">
      <c r="A236" s="39" t="s">
        <v>61</v>
      </c>
      <c r="B236" s="16" t="str">
        <f>IF(RIGHT(A236,2)="WS", LEFT(A236,LEN(A236)-2),A236)</f>
        <v>SAND</v>
      </c>
      <c r="C236" s="16" t="str">
        <f>INDEX(Active!J:J, MATCH(Spearmans2!B236, Active!F:F,0),1)</f>
        <v>Mean Sand Content</v>
      </c>
      <c r="D236" s="16" t="str">
        <f>INDEX(Active!B:B, MATCH(Spearmans2!B236, Active!F:F,0),1)</f>
        <v>Natural</v>
      </c>
      <c r="E236" s="16" t="str">
        <f>INDEX(Active!D:D, MATCH(Spearmans2!B236, Active!F:F,0),1)</f>
        <v>Lithology</v>
      </c>
      <c r="F236" s="16" t="str">
        <f>INDEX(Active!K:K, MATCH(Spearmans2!B236, Active!F:F,0),1)</f>
        <v>Mean % sand content of soils (STATSGO) within AOI</v>
      </c>
      <c r="G236" s="39" t="s">
        <v>646</v>
      </c>
      <c r="H236" s="16" t="s">
        <v>103</v>
      </c>
      <c r="I236" s="16" t="s">
        <v>104</v>
      </c>
      <c r="J236" s="16" t="s">
        <v>647</v>
      </c>
      <c r="K236" s="58" t="s">
        <v>60</v>
      </c>
      <c r="L236" s="17" t="str">
        <f>IF(RIGHT(K236,2)="WS", LEFT(K236,LEN(K236)-2),K236)</f>
        <v>PERM</v>
      </c>
      <c r="M236" s="17" t="str">
        <f>INDEX(Active!J:J, MATCH(Spearmans2!L236, Active!F:F,0),1)</f>
        <v>Mean Permeability</v>
      </c>
      <c r="N236" s="17" t="str">
        <f>INDEX(Active!B:B, MATCH(Spearmans2!L236, Active!F:F,0),1)</f>
        <v>Natural</v>
      </c>
      <c r="O236" s="17" t="str">
        <f>INDEX(Active!K:K, MATCH(Spearmans2!L236, Active!F:F,0),1)</f>
        <v>Mean permeability (cm/hour) of soils (STATSGO) within AOI</v>
      </c>
      <c r="P236" s="45" t="s">
        <v>563</v>
      </c>
      <c r="Q236" s="17" t="s">
        <v>103</v>
      </c>
      <c r="R236" s="17" t="s">
        <v>564</v>
      </c>
      <c r="S236" s="18">
        <v>0.84714675345802115</v>
      </c>
    </row>
    <row r="237" spans="1:19" s="36" customFormat="1" x14ac:dyDescent="0.3">
      <c r="A237" s="39" t="s">
        <v>44</v>
      </c>
      <c r="B237" s="16" t="str">
        <f>IF(RIGHT(A237,2)="WS", LEFT(A237,LEN(A237)-2),A237)</f>
        <v>SED</v>
      </c>
      <c r="C237" s="16" t="str">
        <f>INDEX(Active!J:J, MATCH(Spearmans2!B237, Active!F:F,0),1)</f>
        <v>SED</v>
      </c>
      <c r="D237" s="16" t="str">
        <f>INDEX(Active!B:B, MATCH(Spearmans2!B237, Active!F:F,0),1)</f>
        <v>Anthropogenic</v>
      </c>
      <c r="E237" s="16" t="str">
        <f>INDEX(Active!D:D, MATCH(Spearmans2!B237, Active!F:F,0),1)</f>
        <v>IWI</v>
      </c>
      <c r="F237" s="16" t="str">
        <f>INDEX(Active!K:K, MATCH(Spearmans2!B237, Active!F:F,0),1)</f>
        <v>Sediment regulation component score calculated using AOI metrics</v>
      </c>
      <c r="G237" s="39" t="s">
        <v>650</v>
      </c>
      <c r="H237" s="16" t="s">
        <v>92</v>
      </c>
      <c r="I237" s="16" t="s">
        <v>76</v>
      </c>
      <c r="J237" s="16" t="s">
        <v>651</v>
      </c>
      <c r="K237" s="58" t="s">
        <v>43</v>
      </c>
      <c r="L237" s="17" t="str">
        <f>IF(RIGHT(K237,2)="WS", LEFT(K237,LEN(K237)-2),K237)</f>
        <v>HABT</v>
      </c>
      <c r="M237" s="17" t="str">
        <f>INDEX(Active!J:J, MATCH(Spearmans2!L237, Active!F:F,0),1)</f>
        <v>HABT</v>
      </c>
      <c r="N237" s="17" t="str">
        <f>INDEX(Active!B:B, MATCH(Spearmans2!L237, Active!F:F,0),1)</f>
        <v>Anthropogenic</v>
      </c>
      <c r="O237" s="17" t="str">
        <f>INDEX(Active!K:K, MATCH(Spearmans2!L237, Active!F:F,0),1)</f>
        <v>Habitat provision component score calculated using AOI metrics</v>
      </c>
      <c r="P237" s="45" t="s">
        <v>230</v>
      </c>
      <c r="Q237" s="17" t="s">
        <v>92</v>
      </c>
      <c r="R237" s="17" t="s">
        <v>231</v>
      </c>
      <c r="S237" s="18">
        <v>0.93289112900726701</v>
      </c>
    </row>
    <row r="238" spans="1:19" s="19" customFormat="1" x14ac:dyDescent="0.3">
      <c r="A238" s="37" t="s">
        <v>54</v>
      </c>
      <c r="B238" s="25" t="str">
        <f>IF(RIGHT(A238,2)="WS", LEFT(A238,LEN(A238)-2),A238)</f>
        <v>SIO2</v>
      </c>
      <c r="C238" s="25" t="str">
        <f>INDEX(Active!J:J, MATCH(Spearmans2!B238, Active!F:F,0),1)</f>
        <v>Mean Lithological Silicon Dioxide</v>
      </c>
      <c r="D238" s="25" t="str">
        <f>INDEX(Active!B:B, MATCH(Spearmans2!B238, Active!F:F,0),1)</f>
        <v>Natural</v>
      </c>
      <c r="E238" s="25" t="str">
        <f>INDEX(Active!D:D, MATCH(Spearmans2!B238, Active!F:F,0),1)</f>
        <v>Lithology</v>
      </c>
      <c r="F238" s="25" t="str">
        <f>INDEX(Active!K:K, MATCH(Spearmans2!B238, Active!F:F,0),1)</f>
        <v>Mean % of lithological silicon dioxide (SiO2) content in surface or near surface geology within AOI</v>
      </c>
      <c r="G238" s="37" t="s">
        <v>659</v>
      </c>
      <c r="H238" s="25" t="s">
        <v>103</v>
      </c>
      <c r="I238" s="25" t="s">
        <v>104</v>
      </c>
      <c r="J238" s="25" t="s">
        <v>660</v>
      </c>
      <c r="K238" s="55" t="s">
        <v>58</v>
      </c>
      <c r="L238" s="26" t="str">
        <f>IF(RIGHT(K238,2)="WS", LEFT(K238,LEN(K238)-2),K238)</f>
        <v>MGO</v>
      </c>
      <c r="M238" s="26" t="str">
        <f>INDEX(Active!J:J, MATCH(Spearmans2!L238, Active!F:F,0),1)</f>
        <v>Mean Lithological Magnesium Oxide</v>
      </c>
      <c r="N238" s="26" t="str">
        <f>INDEX(Active!B:B, MATCH(Spearmans2!L238, Active!F:F,0),1)</f>
        <v>Natural</v>
      </c>
      <c r="O238" s="26" t="str">
        <f>INDEX(Active!K:K, MATCH(Spearmans2!L238, Active!F:F,0),1)</f>
        <v>Mean % of lithological magnesium oxide (MgO) content in surface or near surface geology within AOI</v>
      </c>
      <c r="P238" s="52" t="s">
        <v>288</v>
      </c>
      <c r="Q238" s="26" t="s">
        <v>103</v>
      </c>
      <c r="R238" s="26" t="s">
        <v>289</v>
      </c>
      <c r="S238" s="27">
        <v>-0.91294999408061905</v>
      </c>
    </row>
    <row r="239" spans="1:19" s="20" customFormat="1" x14ac:dyDescent="0.3">
      <c r="A239" s="33" t="s">
        <v>54</v>
      </c>
      <c r="B239" s="23" t="str">
        <f>IF(RIGHT(A239,2)="WS", LEFT(A239,LEN(A239)-2),A239)</f>
        <v>SIO2</v>
      </c>
      <c r="C239" s="23" t="str">
        <f>INDEX(Active!J:J, MATCH(Spearmans2!B239, Active!F:F,0),1)</f>
        <v>Mean Lithological Silicon Dioxide</v>
      </c>
      <c r="D239" s="23" t="str">
        <f>INDEX(Active!B:B, MATCH(Spearmans2!B239, Active!F:F,0),1)</f>
        <v>Natural</v>
      </c>
      <c r="E239" s="23" t="str">
        <f>INDEX(Active!D:D, MATCH(Spearmans2!B239, Active!F:F,0),1)</f>
        <v>Lithology</v>
      </c>
      <c r="F239" s="23" t="str">
        <f>INDEX(Active!K:K, MATCH(Spearmans2!B239, Active!F:F,0),1)</f>
        <v>Mean % of lithological silicon dioxide (SiO2) content in surface or near surface geology within AOI</v>
      </c>
      <c r="G239" s="33" t="s">
        <v>659</v>
      </c>
      <c r="H239" s="23" t="s">
        <v>103</v>
      </c>
      <c r="I239" s="23" t="s">
        <v>104</v>
      </c>
      <c r="J239" s="23" t="s">
        <v>660</v>
      </c>
      <c r="K239" s="56" t="s">
        <v>57</v>
      </c>
      <c r="L239" s="24" t="str">
        <f>IF(RIGHT(K239,2)="WS", LEFT(K239,LEN(K239)-2),K239)</f>
        <v>CAO</v>
      </c>
      <c r="M239" s="24" t="str">
        <f>INDEX(Active!J:J, MATCH(Spearmans2!L239, Active!F:F,0),1)</f>
        <v>Mean Lithological Calcium Oxide</v>
      </c>
      <c r="N239" s="24" t="str">
        <f>INDEX(Active!B:B, MATCH(Spearmans2!L239, Active!F:F,0),1)</f>
        <v>Natural</v>
      </c>
      <c r="O239" s="24" t="str">
        <f>INDEX(Active!K:K, MATCH(Spearmans2!L239, Active!F:F,0),1)</f>
        <v>Mean % of lithological calcium oxide (CaO) content in surface or near surface geology within AOI</v>
      </c>
      <c r="P239" s="34" t="s">
        <v>148</v>
      </c>
      <c r="Q239" s="24" t="s">
        <v>103</v>
      </c>
      <c r="R239" s="24" t="s">
        <v>149</v>
      </c>
      <c r="S239" s="28">
        <v>-0.91125059457127466</v>
      </c>
    </row>
    <row r="240" spans="1:19" s="20" customFormat="1" x14ac:dyDescent="0.3">
      <c r="A240" s="33" t="s">
        <v>54</v>
      </c>
      <c r="B240" s="23" t="str">
        <f>IF(RIGHT(A240,2)="WS", LEFT(A240,LEN(A240)-2),A240)</f>
        <v>SIO2</v>
      </c>
      <c r="C240" s="23" t="str">
        <f>INDEX(Active!J:J, MATCH(Spearmans2!B240, Active!F:F,0),1)</f>
        <v>Mean Lithological Silicon Dioxide</v>
      </c>
      <c r="D240" s="23" t="str">
        <f>INDEX(Active!B:B, MATCH(Spearmans2!B240, Active!F:F,0),1)</f>
        <v>Natural</v>
      </c>
      <c r="E240" s="23" t="str">
        <f>INDEX(Active!D:D, MATCH(Spearmans2!B240, Active!F:F,0),1)</f>
        <v>Lithology</v>
      </c>
      <c r="F240" s="23" t="str">
        <f>INDEX(Active!K:K, MATCH(Spearmans2!B240, Active!F:F,0),1)</f>
        <v>Mean % of lithological silicon dioxide (SiO2) content in surface or near surface geology within AOI</v>
      </c>
      <c r="G240" s="33" t="s">
        <v>659</v>
      </c>
      <c r="H240" s="23" t="s">
        <v>103</v>
      </c>
      <c r="I240" s="23" t="s">
        <v>104</v>
      </c>
      <c r="J240" s="23" t="s">
        <v>660</v>
      </c>
      <c r="K240" s="56" t="s">
        <v>52</v>
      </c>
      <c r="L240" s="24" t="str">
        <f>IF(RIGHT(K240,2)="WS", LEFT(K240,LEN(K240)-2),K240)</f>
        <v>P2O5</v>
      </c>
      <c r="M240" s="24" t="str">
        <f>INDEX(Active!J:J, MATCH(Spearmans2!L240, Active!F:F,0),1)</f>
        <v>Mean Lithological Phosphorous Oxide</v>
      </c>
      <c r="N240" s="24" t="str">
        <f>INDEX(Active!B:B, MATCH(Spearmans2!L240, Active!F:F,0),1)</f>
        <v>Natural</v>
      </c>
      <c r="O240" s="24" t="str">
        <f>INDEX(Active!K:K, MATCH(Spearmans2!L240, Active!F:F,0),1)</f>
        <v>Mean % of lithological phosphorous oxide (P2O5) content in surface or near surface geology within AOI</v>
      </c>
      <c r="P240" s="34" t="s">
        <v>349</v>
      </c>
      <c r="Q240" s="24" t="s">
        <v>103</v>
      </c>
      <c r="R240" s="24" t="s">
        <v>350</v>
      </c>
      <c r="S240" s="28">
        <v>-0.85169405418568089</v>
      </c>
    </row>
    <row r="241" spans="1:19" s="20" customFormat="1" x14ac:dyDescent="0.3">
      <c r="A241" s="33" t="s">
        <v>54</v>
      </c>
      <c r="B241" s="23" t="str">
        <f>IF(RIGHT(A241,2)="WS", LEFT(A241,LEN(A241)-2),A241)</f>
        <v>SIO2</v>
      </c>
      <c r="C241" s="23" t="str">
        <f>INDEX(Active!J:J, MATCH(Spearmans2!B241, Active!F:F,0),1)</f>
        <v>Mean Lithological Silicon Dioxide</v>
      </c>
      <c r="D241" s="23" t="str">
        <f>INDEX(Active!B:B, MATCH(Spearmans2!B241, Active!F:F,0),1)</f>
        <v>Natural</v>
      </c>
      <c r="E241" s="23" t="str">
        <f>INDEX(Active!D:D, MATCH(Spearmans2!B241, Active!F:F,0),1)</f>
        <v>Lithology</v>
      </c>
      <c r="F241" s="23" t="str">
        <f>INDEX(Active!K:K, MATCH(Spearmans2!B241, Active!F:F,0),1)</f>
        <v>Mean % of lithological silicon dioxide (SiO2) content in surface or near surface geology within AOI</v>
      </c>
      <c r="G241" s="33" t="s">
        <v>659</v>
      </c>
      <c r="H241" s="23" t="s">
        <v>103</v>
      </c>
      <c r="I241" s="23" t="s">
        <v>104</v>
      </c>
      <c r="J241" s="23" t="s">
        <v>660</v>
      </c>
      <c r="K241" s="56" t="s">
        <v>56</v>
      </c>
      <c r="L241" s="24" t="str">
        <f>IF(RIGHT(K241,2)="WS", LEFT(K241,LEN(K241)-2),K241)</f>
        <v>FE2O3</v>
      </c>
      <c r="M241" s="24" t="str">
        <f>INDEX(Active!J:J, MATCH(Spearmans2!L241, Active!F:F,0),1)</f>
        <v>Mean Lithological Ferric Oxide</v>
      </c>
      <c r="N241" s="24" t="str">
        <f>INDEX(Active!B:B, MATCH(Spearmans2!L241, Active!F:F,0),1)</f>
        <v>Natural</v>
      </c>
      <c r="O241" s="24" t="str">
        <f>INDEX(Active!K:K, MATCH(Spearmans2!L241, Active!F:F,0),1)</f>
        <v>Mean % of lithological ferric oxide (Fe2O3) content in surface or near surface geology within AOI</v>
      </c>
      <c r="P241" s="34" t="s">
        <v>222</v>
      </c>
      <c r="Q241" s="24" t="s">
        <v>103</v>
      </c>
      <c r="R241" s="24" t="s">
        <v>223</v>
      </c>
      <c r="S241" s="28">
        <v>-0.84231954351277305</v>
      </c>
    </row>
    <row r="242" spans="1:19" s="21" customFormat="1" x14ac:dyDescent="0.3">
      <c r="A242" s="38" t="s">
        <v>54</v>
      </c>
      <c r="B242" s="29" t="str">
        <f>IF(RIGHT(A242,2)="WS", LEFT(A242,LEN(A242)-2),A242)</f>
        <v>SIO2</v>
      </c>
      <c r="C242" s="29" t="str">
        <f>INDEX(Active!J:J, MATCH(Spearmans2!B242, Active!F:F,0),1)</f>
        <v>Mean Lithological Silicon Dioxide</v>
      </c>
      <c r="D242" s="29" t="str">
        <f>INDEX(Active!B:B, MATCH(Spearmans2!B242, Active!F:F,0),1)</f>
        <v>Natural</v>
      </c>
      <c r="E242" s="29" t="str">
        <f>INDEX(Active!D:D, MATCH(Spearmans2!B242, Active!F:F,0),1)</f>
        <v>Lithology</v>
      </c>
      <c r="F242" s="29" t="str">
        <f>INDEX(Active!K:K, MATCH(Spearmans2!B242, Active!F:F,0),1)</f>
        <v>Mean % of lithological silicon dioxide (SiO2) content in surface or near surface geology within AOI</v>
      </c>
      <c r="G242" s="38" t="s">
        <v>659</v>
      </c>
      <c r="H242" s="29" t="s">
        <v>103</v>
      </c>
      <c r="I242" s="29" t="s">
        <v>104</v>
      </c>
      <c r="J242" s="29" t="s">
        <v>660</v>
      </c>
      <c r="K242" s="57" t="s">
        <v>55</v>
      </c>
      <c r="L242" s="30" t="str">
        <f>IF(RIGHT(K242,2)="WS", LEFT(K242,LEN(K242)-2),K242)</f>
        <v>K2O</v>
      </c>
      <c r="M242" s="30" t="str">
        <f>INDEX(Active!J:J, MATCH(Spearmans2!L242, Active!F:F,0),1)</f>
        <v>InorgNWetDep</v>
      </c>
      <c r="N242" s="30" t="str">
        <f>INDEX(Active!B:B, MATCH(Spearmans2!L242, Active!F:F,0),1)</f>
        <v>Natural</v>
      </c>
      <c r="O242" s="30" t="str">
        <f>INDEX(Active!K:K, MATCH(Spearmans2!L242, Active!F:F,0),1)</f>
        <v>Mean % of lithological potassium oxide (K2O) content in surface or near surface geology within AOI</v>
      </c>
      <c r="P242" s="53" t="s">
        <v>268</v>
      </c>
      <c r="Q242" s="30" t="s">
        <v>103</v>
      </c>
      <c r="R242" s="30" t="s">
        <v>269</v>
      </c>
      <c r="S242" s="31">
        <v>0.83171271652443135</v>
      </c>
    </row>
    <row r="243" spans="1:19" s="19" customFormat="1" x14ac:dyDescent="0.3">
      <c r="A243" s="37" t="s">
        <v>32</v>
      </c>
      <c r="B243" s="25" t="str">
        <f>IF(RIGHT(A243,2)="WS", LEFT(A243,LEN(A243)-2),A243)</f>
        <v>SN2008</v>
      </c>
      <c r="C243" s="25" t="str">
        <f>INDEX(Active!J:J, MATCH(Spearmans2!B243, Active!F:F,0),1)</f>
        <v>Annual Mean Sulfur and Nitrogen Wet Deposition</v>
      </c>
      <c r="D243" s="25" t="str">
        <f>INDEX(Active!B:B, MATCH(Spearmans2!B243, Active!F:F,0),1)</f>
        <v>Natural</v>
      </c>
      <c r="E243" s="25" t="str">
        <f>INDEX(Active!D:D, MATCH(Spearmans2!B243, Active!F:F,0),1)</f>
        <v>Climate</v>
      </c>
      <c r="F243" s="25" t="str">
        <f>INDEX(Active!K:K, MATCH(Spearmans2!B243, Active!F:F,0),1)</f>
        <v>Annual gradient map of precipitation-weighted mean deposition for average sulfur &amp; nitrogen wet deposition for 2008 in kg of S+N/ha/yr, within AOI</v>
      </c>
      <c r="G243" s="37" t="s">
        <v>663</v>
      </c>
      <c r="H243" s="25" t="s">
        <v>103</v>
      </c>
      <c r="I243" s="25" t="s">
        <v>133</v>
      </c>
      <c r="J243" s="25" t="s">
        <v>664</v>
      </c>
      <c r="K243" s="55" t="s">
        <v>29</v>
      </c>
      <c r="L243" s="26" t="str">
        <f>IF(RIGHT(K243,2)="WS", LEFT(K243,LEN(K243)-2),K243)</f>
        <v>PRECIP2008</v>
      </c>
      <c r="M243" s="26" t="str">
        <f>INDEX(Active!J:J, MATCH(Spearmans2!L243, Active!F:F,0),1)</f>
        <v>Mean Precipitation</v>
      </c>
      <c r="N243" s="26" t="str">
        <f>INDEX(Active!B:B, MATCH(Spearmans2!L243, Active!F:F,0),1)</f>
        <v>Natural</v>
      </c>
      <c r="O243" s="26" t="str">
        <f>INDEX(Active!K:K, MATCH(Spearmans2!L243, Active!F:F,0),1)</f>
        <v>PRISM climate data - 30-year normal mean precipitation (mm): Annual period: 2008 and 2009 within the AOI</v>
      </c>
      <c r="P243" s="52" t="s">
        <v>580</v>
      </c>
      <c r="Q243" s="26" t="s">
        <v>103</v>
      </c>
      <c r="R243" s="26" t="s">
        <v>581</v>
      </c>
      <c r="S243" s="27">
        <v>0.90654371827268165</v>
      </c>
    </row>
    <row r="244" spans="1:19" s="20" customFormat="1" x14ac:dyDescent="0.3">
      <c r="A244" s="33" t="s">
        <v>32</v>
      </c>
      <c r="B244" s="23" t="str">
        <f>IF(RIGHT(A244,2)="WS", LEFT(A244,LEN(A244)-2),A244)</f>
        <v>SN2008</v>
      </c>
      <c r="C244" s="23" t="str">
        <f>INDEX(Active!J:J, MATCH(Spearmans2!B244, Active!F:F,0),1)</f>
        <v>Annual Mean Sulfur and Nitrogen Wet Deposition</v>
      </c>
      <c r="D244" s="23" t="str">
        <f>INDEX(Active!B:B, MATCH(Spearmans2!B244, Active!F:F,0),1)</f>
        <v>Natural</v>
      </c>
      <c r="E244" s="23" t="str">
        <f>INDEX(Active!D:D, MATCH(Spearmans2!B244, Active!F:F,0),1)</f>
        <v>Climate</v>
      </c>
      <c r="F244" s="23" t="str">
        <f>INDEX(Active!K:K, MATCH(Spearmans2!B244, Active!F:F,0),1)</f>
        <v>Annual gradient map of precipitation-weighted mean deposition for average sulfur &amp; nitrogen wet deposition for 2008 in kg of S+N/ha/yr, within AOI</v>
      </c>
      <c r="G244" s="33" t="s">
        <v>663</v>
      </c>
      <c r="H244" s="23" t="s">
        <v>103</v>
      </c>
      <c r="I244" s="23" t="s">
        <v>133</v>
      </c>
      <c r="J244" s="23" t="s">
        <v>664</v>
      </c>
      <c r="K244" s="56" t="s">
        <v>33</v>
      </c>
      <c r="L244" s="24" t="str">
        <f>IF(RIGHT(K244,2)="WS", LEFT(K244,LEN(K244)-2),K244)</f>
        <v>PRECIP9120</v>
      </c>
      <c r="M244" s="24" t="str">
        <f>INDEX(Active!J:J, MATCH(Spearmans2!L244, Active!F:F,0),1)</f>
        <v>30-year Mean Annual Precipitation</v>
      </c>
      <c r="N244" s="24" t="str">
        <f>INDEX(Active!B:B, MATCH(Spearmans2!L244, Active!F:F,0),1)</f>
        <v>Natural</v>
      </c>
      <c r="O244" s="24" t="str">
        <f>INDEX(Active!K:K, MATCH(Spearmans2!L244, Active!F:F,0),1)</f>
        <v>PRISM climate data - 30-year normal mean precipitation (mm): Annual period: 1991-2020 within the AOI</v>
      </c>
      <c r="P244" s="34" t="s">
        <v>591</v>
      </c>
      <c r="Q244" s="24" t="s">
        <v>103</v>
      </c>
      <c r="R244" s="24" t="s">
        <v>596</v>
      </c>
      <c r="S244" s="28">
        <v>0.91305763253359595</v>
      </c>
    </row>
    <row r="245" spans="1:19" s="20" customFormat="1" x14ac:dyDescent="0.3">
      <c r="A245" s="33" t="s">
        <v>32</v>
      </c>
      <c r="B245" s="23" t="str">
        <f>IF(RIGHT(A245,2)="WS", LEFT(A245,LEN(A245)-2),A245)</f>
        <v>SN2008</v>
      </c>
      <c r="C245" s="23" t="str">
        <f>INDEX(Active!J:J, MATCH(Spearmans2!B245, Active!F:F,0),1)</f>
        <v>Annual Mean Sulfur and Nitrogen Wet Deposition</v>
      </c>
      <c r="D245" s="23" t="str">
        <f>INDEX(Active!B:B, MATCH(Spearmans2!B245, Active!F:F,0),1)</f>
        <v>Natural</v>
      </c>
      <c r="E245" s="23" t="str">
        <f>INDEX(Active!D:D, MATCH(Spearmans2!B245, Active!F:F,0),1)</f>
        <v>Climate</v>
      </c>
      <c r="F245" s="23" t="str">
        <f>INDEX(Active!K:K, MATCH(Spearmans2!B245, Active!F:F,0),1)</f>
        <v>Annual gradient map of precipitation-weighted mean deposition for average sulfur &amp; nitrogen wet deposition for 2008 in kg of S+N/ha/yr, within AOI</v>
      </c>
      <c r="G245" s="33" t="s">
        <v>663</v>
      </c>
      <c r="H245" s="23" t="s">
        <v>103</v>
      </c>
      <c r="I245" s="23" t="s">
        <v>133</v>
      </c>
      <c r="J245" s="23" t="s">
        <v>664</v>
      </c>
      <c r="K245" s="56" t="s">
        <v>27</v>
      </c>
      <c r="L245" s="24" t="str">
        <f>IF(RIGHT(K245,2)="WS", LEFT(K245,LEN(K245)-2),K245)</f>
        <v>PRECIP8110</v>
      </c>
      <c r="M245" s="24" t="str">
        <f>INDEX(Active!J:J, MATCH(Spearmans2!L245, Active!F:F,0),1)</f>
        <v>30-year Mean Annual Precipitation</v>
      </c>
      <c r="N245" s="24" t="str">
        <f>INDEX(Active!B:B, MATCH(Spearmans2!L245, Active!F:F,0),1)</f>
        <v>Natural</v>
      </c>
      <c r="O245" s="24" t="str">
        <f>INDEX(Active!K:K, MATCH(Spearmans2!L245, Active!F:F,0),1)</f>
        <v>PRISM climate data - 30-year normal mean precipitation (mm): Annual period: 1981-2010 within AOI</v>
      </c>
      <c r="P245" s="34" t="s">
        <v>591</v>
      </c>
      <c r="Q245" s="24" t="s">
        <v>103</v>
      </c>
      <c r="R245" s="24" t="s">
        <v>592</v>
      </c>
      <c r="S245" s="28">
        <v>0.91627176877647476</v>
      </c>
    </row>
    <row r="246" spans="1:19" s="20" customFormat="1" x14ac:dyDescent="0.3">
      <c r="A246" s="33" t="s">
        <v>32</v>
      </c>
      <c r="B246" s="23" t="str">
        <f>IF(RIGHT(A246,2)="WS", LEFT(A246,LEN(A246)-2),A246)</f>
        <v>SN2008</v>
      </c>
      <c r="C246" s="23" t="str">
        <f>INDEX(Active!J:J, MATCH(Spearmans2!B246, Active!F:F,0),1)</f>
        <v>Annual Mean Sulfur and Nitrogen Wet Deposition</v>
      </c>
      <c r="D246" s="23" t="str">
        <f>INDEX(Active!B:B, MATCH(Spearmans2!B246, Active!F:F,0),1)</f>
        <v>Natural</v>
      </c>
      <c r="E246" s="23" t="str">
        <f>INDEX(Active!D:D, MATCH(Spearmans2!B246, Active!F:F,0),1)</f>
        <v>Climate</v>
      </c>
      <c r="F246" s="23" t="str">
        <f>INDEX(Active!K:K, MATCH(Spearmans2!B246, Active!F:F,0),1)</f>
        <v>Annual gradient map of precipitation-weighted mean deposition for average sulfur &amp; nitrogen wet deposition for 2008 in kg of S+N/ha/yr, within AOI</v>
      </c>
      <c r="G246" s="33" t="s">
        <v>663</v>
      </c>
      <c r="H246" s="23" t="s">
        <v>103</v>
      </c>
      <c r="I246" s="23" t="s">
        <v>133</v>
      </c>
      <c r="J246" s="23" t="s">
        <v>664</v>
      </c>
      <c r="K246" s="56" t="s">
        <v>762</v>
      </c>
      <c r="L246" s="24" t="str">
        <f>IF(RIGHT(K246,2)="WS", LEFT(K246,LEN(K246)-2),K246)</f>
        <v>PRECIP_MINUS_EVT</v>
      </c>
      <c r="M246" s="24" t="str">
        <f>INDEX(Active!J:J, MATCH(Spearmans2!L246, Active!F:F,0),1)</f>
        <v>Surplus Precipitation</v>
      </c>
      <c r="N246" s="24" t="str">
        <f>INDEX(Active!B:B, MATCH(Spearmans2!L246, Active!F:F,0),1)</f>
        <v>Natural</v>
      </c>
      <c r="O246" s="24" t="str">
        <f>INDEX(Active!K:K, MATCH(Spearmans2!L246,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46" s="34" t="s">
        <v>587</v>
      </c>
      <c r="Q246" s="24" t="s">
        <v>103</v>
      </c>
      <c r="R246" s="24" t="s">
        <v>588</v>
      </c>
      <c r="S246" s="28">
        <v>0.91949294487170352</v>
      </c>
    </row>
    <row r="247" spans="1:19" s="20" customFormat="1" x14ac:dyDescent="0.3">
      <c r="A247" s="33" t="s">
        <v>32</v>
      </c>
      <c r="B247" s="23" t="str">
        <f>IF(RIGHT(A247,2)="WS", LEFT(A247,LEN(A247)-2),A247)</f>
        <v>SN2008</v>
      </c>
      <c r="C247" s="23" t="str">
        <f>INDEX(Active!J:J, MATCH(Spearmans2!B247, Active!F:F,0),1)</f>
        <v>Annual Mean Sulfur and Nitrogen Wet Deposition</v>
      </c>
      <c r="D247" s="23" t="str">
        <f>INDEX(Active!B:B, MATCH(Spearmans2!B247, Active!F:F,0),1)</f>
        <v>Natural</v>
      </c>
      <c r="E247" s="23" t="str">
        <f>INDEX(Active!D:D, MATCH(Spearmans2!B247, Active!F:F,0),1)</f>
        <v>Climate</v>
      </c>
      <c r="F247" s="23" t="str">
        <f>INDEX(Active!K:K, MATCH(Spearmans2!B247, Active!F:F,0),1)</f>
        <v>Annual gradient map of precipitation-weighted mean deposition for average sulfur &amp; nitrogen wet deposition for 2008 in kg of S+N/ha/yr, within AOI</v>
      </c>
      <c r="G247" s="33" t="s">
        <v>663</v>
      </c>
      <c r="H247" s="23" t="s">
        <v>103</v>
      </c>
      <c r="I247" s="23" t="s">
        <v>133</v>
      </c>
      <c r="J247" s="23" t="s">
        <v>664</v>
      </c>
      <c r="K247" s="56" t="s">
        <v>28</v>
      </c>
      <c r="L247" s="24" t="str">
        <f>IF(RIGHT(K247,2)="WS", LEFT(K247,LEN(K247)-2),K247)</f>
        <v>NO32008</v>
      </c>
      <c r="M247" s="24" t="str">
        <f>INDEX(Active!J:J, MATCH(Spearmans2!L247, Active!F:F,0),1)</f>
        <v>Mean Annual Precipitation-Weighted NO3 Mean</v>
      </c>
      <c r="N247" s="24" t="str">
        <f>INDEX(Active!B:B, MATCH(Spearmans2!L247, Active!F:F,0),1)</f>
        <v>Natural</v>
      </c>
      <c r="O247" s="24" t="str">
        <f>INDEX(Active!K:K, MATCH(Spearmans2!L247, Active!F:F,0),1)</f>
        <v>Annual gradient map of precipitation-weighted mean deposition for nitrate ion concentration wet deposition for 2008 in kg of NO3/ha/yr, within AOI</v>
      </c>
      <c r="P247" s="34" t="s">
        <v>332</v>
      </c>
      <c r="Q247" s="24" t="s">
        <v>103</v>
      </c>
      <c r="R247" s="24" t="s">
        <v>333</v>
      </c>
      <c r="S247" s="28">
        <v>0.97974299167585588</v>
      </c>
    </row>
    <row r="248" spans="1:19" s="20" customFormat="1" ht="13.8" customHeight="1" x14ac:dyDescent="0.3">
      <c r="A248" s="33" t="s">
        <v>32</v>
      </c>
      <c r="B248" s="23" t="str">
        <f>IF(RIGHT(A248,2)="WS", LEFT(A248,LEN(A248)-2),A248)</f>
        <v>SN2008</v>
      </c>
      <c r="C248" s="23" t="str">
        <f>INDEX(Active!J:J, MATCH(Spearmans2!B248, Active!F:F,0),1)</f>
        <v>Annual Mean Sulfur and Nitrogen Wet Deposition</v>
      </c>
      <c r="D248" s="23" t="str">
        <f>INDEX(Active!B:B, MATCH(Spearmans2!B248, Active!F:F,0),1)</f>
        <v>Natural</v>
      </c>
      <c r="E248" s="23" t="str">
        <f>INDEX(Active!D:D, MATCH(Spearmans2!B248, Active!F:F,0),1)</f>
        <v>Climate</v>
      </c>
      <c r="F248" s="23" t="str">
        <f>INDEX(Active!K:K, MATCH(Spearmans2!B248, Active!F:F,0),1)</f>
        <v>Annual gradient map of precipitation-weighted mean deposition for average sulfur &amp; nitrogen wet deposition for 2008 in kg of S+N/ha/yr, within AOI</v>
      </c>
      <c r="G248" s="33" t="s">
        <v>663</v>
      </c>
      <c r="H248" s="23" t="s">
        <v>103</v>
      </c>
      <c r="I248" s="23" t="s">
        <v>133</v>
      </c>
      <c r="J248" s="23" t="s">
        <v>664</v>
      </c>
      <c r="K248" s="56" t="s">
        <v>31</v>
      </c>
      <c r="L248" s="24" t="str">
        <f>IF(RIGHT(K248,2)="WS", LEFT(K248,LEN(K248)-2),K248)</f>
        <v>NH42008</v>
      </c>
      <c r="M248" s="24" t="str">
        <f>INDEX(Active!J:J, MATCH(Spearmans2!L248, Active!F:F,0),1)</f>
        <v>Mean annual Precipitation-Weighted NH4 Mean</v>
      </c>
      <c r="N248" s="24" t="str">
        <f>INDEX(Active!B:B, MATCH(Spearmans2!L248, Active!F:F,0),1)</f>
        <v>Natural</v>
      </c>
      <c r="O248" s="24" t="str">
        <f>INDEX(Active!K:K, MATCH(Spearmans2!L248, Active!F:F,0),1)</f>
        <v>Annual gradient map of precipitation-weighted mean deposition for ammonium ion concentration wet deposition for 2008 in kg of NH4/ha/yr, within AOI</v>
      </c>
      <c r="P248" s="34" t="s">
        <v>328</v>
      </c>
      <c r="Q248" s="24" t="s">
        <v>103</v>
      </c>
      <c r="R248" s="24" t="s">
        <v>329</v>
      </c>
      <c r="S248" s="28">
        <v>0.98088712756171592</v>
      </c>
    </row>
    <row r="249" spans="1:19" s="21" customFormat="1" ht="13.8" customHeight="1" x14ac:dyDescent="0.3">
      <c r="A249" s="38" t="s">
        <v>32</v>
      </c>
      <c r="B249" s="29" t="str">
        <f>IF(RIGHT(A249,2)="WS", LEFT(A249,LEN(A249)-2),A249)</f>
        <v>SN2008</v>
      </c>
      <c r="C249" s="29" t="str">
        <f>INDEX(Active!J:J, MATCH(Spearmans2!B249, Active!F:F,0),1)</f>
        <v>Annual Mean Sulfur and Nitrogen Wet Deposition</v>
      </c>
      <c r="D249" s="29" t="str">
        <f>INDEX(Active!B:B, MATCH(Spearmans2!B249, Active!F:F,0),1)</f>
        <v>Natural</v>
      </c>
      <c r="E249" s="29" t="str">
        <f>INDEX(Active!D:D, MATCH(Spearmans2!B249, Active!F:F,0),1)</f>
        <v>Climate</v>
      </c>
      <c r="F249" s="29" t="str">
        <f>INDEX(Active!K:K, MATCH(Spearmans2!B249, Active!F:F,0),1)</f>
        <v>Annual gradient map of precipitation-weighted mean deposition for average sulfur &amp; nitrogen wet deposition for 2008 in kg of S+N/ha/yr, within AOI</v>
      </c>
      <c r="G249" s="38" t="s">
        <v>663</v>
      </c>
      <c r="H249" s="29" t="s">
        <v>103</v>
      </c>
      <c r="I249" s="29" t="s">
        <v>133</v>
      </c>
      <c r="J249" s="29" t="s">
        <v>664</v>
      </c>
      <c r="K249" s="57" t="s">
        <v>30</v>
      </c>
      <c r="L249" s="30" t="str">
        <f>IF(RIGHT(K249,2)="WS", LEFT(K249,LEN(K249)-2),K249)</f>
        <v>INORGNWETDEP2008</v>
      </c>
      <c r="M249" s="30" t="str">
        <f>INDEX(Active!J:J, MATCH(Spearmans2!L249, Active!F:F,0),1)</f>
        <v>Mean Annual Precipitation-Weighted Nitrogen</v>
      </c>
      <c r="N249" s="30" t="str">
        <f>INDEX(Active!B:B, MATCH(Spearmans2!L249, Active!F:F,0),1)</f>
        <v>Natural</v>
      </c>
      <c r="O249" s="30" t="str">
        <f>INDEX(Active!K:K, MATCH(Spearmans2!L249, Active!F:F,0),1)</f>
        <v>Annual gradient map of precipitation-weighted mean deposition for inorganic nitrogen wet deposition from nitrate and ammonium for 2008 in kg of N/ha/yr, within AOI</v>
      </c>
      <c r="P249" s="53" t="s">
        <v>257</v>
      </c>
      <c r="Q249" s="30" t="s">
        <v>103</v>
      </c>
      <c r="R249" s="30" t="s">
        <v>258</v>
      </c>
      <c r="S249" s="31">
        <v>0.98937640717327635</v>
      </c>
    </row>
    <row r="250" spans="1:19" s="36" customFormat="1" x14ac:dyDescent="0.3">
      <c r="A250" s="39" t="s">
        <v>17</v>
      </c>
      <c r="B250" s="16" t="str">
        <f>IF(RIGHT(A250,2)="WS", LEFT(A250,LEN(A250)-2),A250)</f>
        <v>SW_FLUX</v>
      </c>
      <c r="C250" s="16" t="str">
        <f>INDEX(Active!J:J, MATCH(Spearmans2!B250, Active!F:F,0),1)</f>
        <v>Surface Water Nitrogen Flux</v>
      </c>
      <c r="D250" s="16" t="str">
        <f>INDEX(Active!B:B, MATCH(Spearmans2!B250, Active!F:F,0),1)</f>
        <v>Anthropogenic</v>
      </c>
      <c r="E250" s="16" t="str">
        <f>INDEX(Active!D:D, MATCH(Spearmans2!B250, Active!F:F,0),1)</f>
        <v>Agriculture</v>
      </c>
      <c r="F250" s="16" t="str">
        <f>INDEX(Active!K:K, MATCH(Spearmans2!B250, Active!F:F,0),1)</f>
        <v>Estimated surface water TN flux (kg N / km2) within AOI</v>
      </c>
      <c r="G250" s="39" t="s">
        <v>671</v>
      </c>
      <c r="H250" s="16" t="s">
        <v>92</v>
      </c>
      <c r="I250" s="16" t="s">
        <v>94</v>
      </c>
      <c r="J250" s="16" t="s">
        <v>672</v>
      </c>
      <c r="K250" s="58" t="s">
        <v>18</v>
      </c>
      <c r="L250" s="17" t="str">
        <f>IF(RIGHT(K250,2)="WS", LEFT(K250,LEN(K250)-2),K250)</f>
        <v>RUNOFF</v>
      </c>
      <c r="M250" s="17" t="str">
        <f>INDEX(Active!J:J, MATCH(Spearmans2!L250, Active!F:F,0),1)</f>
        <v>Mean Runoff</v>
      </c>
      <c r="N250" s="17" t="str">
        <f>INDEX(Active!B:B, MATCH(Spearmans2!L250, Active!F:F,0),1)</f>
        <v>Natural</v>
      </c>
      <c r="O250" s="17" t="str">
        <f>INDEX(Active!K:K, MATCH(Spearmans2!L250, Active!F:F,0),1)</f>
        <v>Mean runoff (mm) within AOI</v>
      </c>
      <c r="P250" s="45" t="s">
        <v>636</v>
      </c>
      <c r="Q250" s="17" t="s">
        <v>103</v>
      </c>
      <c r="R250" s="17" t="s">
        <v>637</v>
      </c>
      <c r="S250" s="18">
        <v>0.8602197792314743</v>
      </c>
    </row>
    <row r="251" spans="1:19" s="36" customFormat="1" x14ac:dyDescent="0.3">
      <c r="A251" s="39" t="s">
        <v>46</v>
      </c>
      <c r="B251" s="16" t="str">
        <f>IF(RIGHT(A251,2)="WS", LEFT(A251,LEN(A251)-2),A251)</f>
        <v>TEMP</v>
      </c>
      <c r="C251" s="16" t="str">
        <f>INDEX(Active!J:J, MATCH(Spearmans2!B251, Active!F:F,0),1)</f>
        <v>TEMP</v>
      </c>
      <c r="D251" s="16" t="str">
        <f>INDEX(Active!B:B, MATCH(Spearmans2!B251, Active!F:F,0),1)</f>
        <v>Anthropogenic</v>
      </c>
      <c r="E251" s="16" t="str">
        <f>INDEX(Active!D:D, MATCH(Spearmans2!B251, Active!F:F,0),1)</f>
        <v>IWI</v>
      </c>
      <c r="F251" s="16" t="str">
        <f>INDEX(Active!K:K, MATCH(Spearmans2!B251, Active!F:F,0),1)</f>
        <v>Temperature regulation component score calculated using AOI metrics</v>
      </c>
      <c r="G251" s="39" t="s">
        <v>675</v>
      </c>
      <c r="H251" s="16" t="s">
        <v>92</v>
      </c>
      <c r="I251" s="16" t="s">
        <v>76</v>
      </c>
      <c r="J251" s="16" t="s">
        <v>676</v>
      </c>
      <c r="K251" s="58" t="s">
        <v>45</v>
      </c>
      <c r="L251" s="17" t="str">
        <f>IF(RIGHT(K251,2)="WS", LEFT(K251,LEN(K251)-2),K251)</f>
        <v>CONN</v>
      </c>
      <c r="M251" s="17" t="str">
        <f>INDEX(Active!J:J, MATCH(Spearmans2!L251, Active!F:F,0),1)</f>
        <v>CONN</v>
      </c>
      <c r="N251" s="17" t="str">
        <f>INDEX(Active!B:B, MATCH(Spearmans2!L251, Active!F:F,0),1)</f>
        <v>Anthropogenic</v>
      </c>
      <c r="O251" s="17" t="str">
        <f>INDEX(Active!K:K, MATCH(Spearmans2!L251, Active!F:F,0),1)</f>
        <v>Hydrologic connectivity component score calculated using AOI metrics</v>
      </c>
      <c r="P251" s="45" t="s">
        <v>198</v>
      </c>
      <c r="Q251" s="17" t="s">
        <v>92</v>
      </c>
      <c r="R251" s="17" t="s">
        <v>199</v>
      </c>
      <c r="S251" s="18">
        <v>0.95113691282455737</v>
      </c>
    </row>
    <row r="252" spans="1:19" s="19" customFormat="1" x14ac:dyDescent="0.3">
      <c r="A252" s="37" t="s">
        <v>763</v>
      </c>
      <c r="B252" s="25" t="str">
        <f>IF(RIGHT(A252,2)="WS", LEFT(A252,LEN(A252)-2),A252)</f>
        <v>THALWEGDEPTH</v>
      </c>
      <c r="C252" s="25" t="e">
        <f>INDEX(Active!J:J, MATCH(Spearmans2!B252, Active!F:F,0),1)</f>
        <v>#N/A</v>
      </c>
      <c r="D252" s="25" t="e">
        <f>INDEX(Active!B:B, MATCH(Spearmans2!B252, Active!F:F,0),1)</f>
        <v>#N/A</v>
      </c>
      <c r="E252" s="25" t="e">
        <f>INDEX(Active!D:D, MATCH(Spearmans2!B252, Active!F:F,0),1)</f>
        <v>#N/A</v>
      </c>
      <c r="F252" s="25" t="e">
        <f>INDEX(Active!K:K, MATCH(Spearmans2!B252, Active!F:F,0),1)</f>
        <v>#N/A</v>
      </c>
      <c r="G252" s="37" t="e">
        <v>#N/A</v>
      </c>
      <c r="H252" s="25" t="e">
        <v>#N/A</v>
      </c>
      <c r="I252" s="25" t="e">
        <v>#N/A</v>
      </c>
      <c r="J252" s="25" t="e">
        <v>#N/A</v>
      </c>
      <c r="K252" s="55" t="s">
        <v>4</v>
      </c>
      <c r="L252" s="26" t="str">
        <f>IF(RIGHT(K252,2)="WS", LEFT(K252,LEN(K252)-2),K252)</f>
        <v>NANI</v>
      </c>
      <c r="M252" s="26" t="str">
        <f>INDEX(Active!J:J, MATCH(Spearmans2!L252, Active!F:F,0),1)</f>
        <v>Anthropogenic Nitrogen</v>
      </c>
      <c r="N252" s="26" t="str">
        <f>INDEX(Active!B:B, MATCH(Spearmans2!L252, Active!F:F,0),1)</f>
        <v>Anthropogenic</v>
      </c>
      <c r="O252" s="26" t="str">
        <f>INDEX(Active!K:K, MATCH(Spearmans2!L252, Active!F:F,0),1)</f>
        <v>Net Anthropogenic Nitrogen within AOI: farm fertilizer + urban fertilizer + NOx deposition + CBNF + Human and Livestock food - crop N content - livestock N content</v>
      </c>
      <c r="P252" s="52" t="s">
        <v>322</v>
      </c>
      <c r="Q252" s="26" t="s">
        <v>92</v>
      </c>
      <c r="R252" s="26" t="s">
        <v>323</v>
      </c>
      <c r="S252" s="27">
        <v>0.88083328268096062</v>
      </c>
    </row>
    <row r="253" spans="1:19" s="20" customFormat="1" x14ac:dyDescent="0.3">
      <c r="A253" s="33" t="s">
        <v>763</v>
      </c>
      <c r="B253" s="23" t="str">
        <f>IF(RIGHT(A253,2)="WS", LEFT(A253,LEN(A253)-2),A253)</f>
        <v>THALWEGDEPTH</v>
      </c>
      <c r="C253" s="23" t="e">
        <f>INDEX(Active!J:J, MATCH(Spearmans2!B253, Active!F:F,0),1)</f>
        <v>#N/A</v>
      </c>
      <c r="D253" s="23" t="e">
        <f>INDEX(Active!B:B, MATCH(Spearmans2!B253, Active!F:F,0),1)</f>
        <v>#N/A</v>
      </c>
      <c r="E253" s="23" t="e">
        <f>INDEX(Active!D:D, MATCH(Spearmans2!B253, Active!F:F,0),1)</f>
        <v>#N/A</v>
      </c>
      <c r="F253" s="23" t="e">
        <f>INDEX(Active!K:K, MATCH(Spearmans2!B253, Active!F:F,0),1)</f>
        <v>#N/A</v>
      </c>
      <c r="G253" s="33" t="e">
        <v>#N/A</v>
      </c>
      <c r="H253" s="23" t="e">
        <v>#N/A</v>
      </c>
      <c r="I253" s="23" t="e">
        <v>#N/A</v>
      </c>
      <c r="J253" s="23" t="e">
        <v>#N/A</v>
      </c>
      <c r="K253" s="56" t="s">
        <v>3</v>
      </c>
      <c r="L253" s="24" t="str">
        <f>IF(RIGHT(K253,2)="WS", LEFT(K253,LEN(K253)-2),K253)</f>
        <v>NSURP</v>
      </c>
      <c r="M253" s="24" t="str">
        <f>INDEX(Active!J:J, MATCH(Spearmans2!L253, Active!F:F,0),1)</f>
        <v>Nitrogen Surplus</v>
      </c>
      <c r="N253" s="24" t="str">
        <f>INDEX(Active!B:B, MATCH(Spearmans2!L253, Active!F:F,0),1)</f>
        <v>Anthropogenic</v>
      </c>
      <c r="O253" s="24" t="str">
        <f>INDEX(Active!K:K, MATCH(Spearmans2!L253, Active!F:F,0),1)</f>
        <v>Nitrogen Surplus (kg N / yr) per AOI - excluding biological N Fixation</v>
      </c>
      <c r="P253" s="34" t="s">
        <v>341</v>
      </c>
      <c r="Q253" s="24" t="s">
        <v>92</v>
      </c>
      <c r="R253" s="24" t="s">
        <v>342</v>
      </c>
      <c r="S253" s="28">
        <v>0.88821855465007304</v>
      </c>
    </row>
    <row r="254" spans="1:19" s="20" customFormat="1" x14ac:dyDescent="0.3">
      <c r="A254" s="33" t="s">
        <v>763</v>
      </c>
      <c r="B254" s="23" t="str">
        <f>IF(RIGHT(A254,2)="WS", LEFT(A254,LEN(A254)-2),A254)</f>
        <v>THALWEGDEPTH</v>
      </c>
      <c r="C254" s="23" t="e">
        <f>INDEX(Active!J:J, MATCH(Spearmans2!B254, Active!F:F,0),1)</f>
        <v>#N/A</v>
      </c>
      <c r="D254" s="23" t="e">
        <f>INDEX(Active!B:B, MATCH(Spearmans2!B254, Active!F:F,0),1)</f>
        <v>#N/A</v>
      </c>
      <c r="E254" s="23" t="e">
        <f>INDEX(Active!D:D, MATCH(Spearmans2!B254, Active!F:F,0),1)</f>
        <v>#N/A</v>
      </c>
      <c r="F254" s="23" t="e">
        <f>INDEX(Active!K:K, MATCH(Spearmans2!B254, Active!F:F,0),1)</f>
        <v>#N/A</v>
      </c>
      <c r="G254" s="33" t="e">
        <v>#N/A</v>
      </c>
      <c r="H254" s="23" t="e">
        <v>#N/A</v>
      </c>
      <c r="I254" s="23" t="e">
        <v>#N/A</v>
      </c>
      <c r="J254" s="23" t="e">
        <v>#N/A</v>
      </c>
      <c r="K254" s="56" t="s">
        <v>7</v>
      </c>
      <c r="L254" s="24" t="str">
        <f>IF(RIGHT(K254,2)="WS", LEFT(K254,LEN(K254)-2),K254)</f>
        <v>BANKFULLDEPTH</v>
      </c>
      <c r="M254" s="24" t="str">
        <f>INDEX(Active!J:J, MATCH(Spearmans2!L254, Active!F:F,0),1)</f>
        <v>Predicted Bankfull Depth</v>
      </c>
      <c r="N254" s="24" t="str">
        <f>INDEX(Active!B:B, MATCH(Spearmans2!L254, Active!F:F,0),1)</f>
        <v>Natural</v>
      </c>
      <c r="O254" s="24" t="str">
        <f>INDEX(Active!K:K, MATCH(Spearmans2!L254, Active!F:F,0),1)</f>
        <v>Predicted bankfull depth: thalweg depth plus bankfull height, which is the height from the water surface to the bankfull stage</v>
      </c>
      <c r="P254" s="34" t="s">
        <v>125</v>
      </c>
      <c r="Q254" s="24" t="s">
        <v>103</v>
      </c>
      <c r="R254" s="24" t="s">
        <v>126</v>
      </c>
      <c r="S254" s="28">
        <v>0.92610250785574666</v>
      </c>
    </row>
    <row r="255" spans="1:19" s="20" customFormat="1" x14ac:dyDescent="0.3">
      <c r="A255" s="33" t="s">
        <v>763</v>
      </c>
      <c r="B255" s="23" t="str">
        <f>IF(RIGHT(A255,2)="WS", LEFT(A255,LEN(A255)-2),A255)</f>
        <v>THALWEGDEPTH</v>
      </c>
      <c r="C255" s="23" t="e">
        <f>INDEX(Active!J:J, MATCH(Spearmans2!B255, Active!F:F,0),1)</f>
        <v>#N/A</v>
      </c>
      <c r="D255" s="23" t="e">
        <f>INDEX(Active!B:B, MATCH(Spearmans2!B255, Active!F:F,0),1)</f>
        <v>#N/A</v>
      </c>
      <c r="E255" s="23" t="e">
        <f>INDEX(Active!D:D, MATCH(Spearmans2!B255, Active!F:F,0),1)</f>
        <v>#N/A</v>
      </c>
      <c r="F255" s="23" t="e">
        <f>INDEX(Active!K:K, MATCH(Spearmans2!B255, Active!F:F,0),1)</f>
        <v>#N/A</v>
      </c>
      <c r="G255" s="33" t="e">
        <v>#N/A</v>
      </c>
      <c r="H255" s="23" t="e">
        <v>#N/A</v>
      </c>
      <c r="I255" s="23" t="e">
        <v>#N/A</v>
      </c>
      <c r="J255" s="23" t="e">
        <v>#N/A</v>
      </c>
      <c r="K255" s="56" t="s">
        <v>6</v>
      </c>
      <c r="L255" s="24" t="str">
        <f>IF(RIGHT(K255,2)="WS", LEFT(K255,LEN(K255)-2),K255)</f>
        <v>BANKFULLWIDTH</v>
      </c>
      <c r="M255" s="24" t="str">
        <f>INDEX(Active!J:J, MATCH(Spearmans2!L255, Active!F:F,0),1)</f>
        <v>Predicted Bankfull Width</v>
      </c>
      <c r="N255" s="24" t="str">
        <f>INDEX(Active!B:B, MATCH(Spearmans2!L255, Active!F:F,0),1)</f>
        <v>Natural</v>
      </c>
      <c r="O255" s="24" t="str">
        <f>INDEX(Active!K:K, MATCH(Spearmans2!L255, Active!F:F,0),1)</f>
        <v>Predicted bankfull width: distance from left to right bank at bankfull stage where the potential water height would spill outside of the channel and into the floodplain</v>
      </c>
      <c r="P255" s="34" t="s">
        <v>131</v>
      </c>
      <c r="Q255" s="24" t="s">
        <v>103</v>
      </c>
      <c r="R255" s="24" t="s">
        <v>132</v>
      </c>
      <c r="S255" s="28">
        <v>0.9584725073649194</v>
      </c>
    </row>
    <row r="256" spans="1:19" s="21" customFormat="1" x14ac:dyDescent="0.3">
      <c r="A256" s="38" t="s">
        <v>763</v>
      </c>
      <c r="B256" s="29" t="str">
        <f>IF(RIGHT(A256,2)="WS", LEFT(A256,LEN(A256)-2),A256)</f>
        <v>THALWEGDEPTH</v>
      </c>
      <c r="C256" s="29" t="e">
        <f>INDEX(Active!J:J, MATCH(Spearmans2!B256, Active!F:F,0),1)</f>
        <v>#N/A</v>
      </c>
      <c r="D256" s="29" t="e">
        <f>INDEX(Active!B:B, MATCH(Spearmans2!B256, Active!F:F,0),1)</f>
        <v>#N/A</v>
      </c>
      <c r="E256" s="29" t="e">
        <f>INDEX(Active!D:D, MATCH(Spearmans2!B256, Active!F:F,0),1)</f>
        <v>#N/A</v>
      </c>
      <c r="F256" s="29" t="e">
        <f>INDEX(Active!K:K, MATCH(Spearmans2!B256, Active!F:F,0),1)</f>
        <v>#N/A</v>
      </c>
      <c r="G256" s="38" t="e">
        <v>#N/A</v>
      </c>
      <c r="H256" s="29" t="e">
        <v>#N/A</v>
      </c>
      <c r="I256" s="29" t="e">
        <v>#N/A</v>
      </c>
      <c r="J256" s="29" t="e">
        <v>#N/A</v>
      </c>
      <c r="K256" s="57" t="s">
        <v>5</v>
      </c>
      <c r="L256" s="30" t="str">
        <f>IF(RIGHT(K256,2)="WS", LEFT(K256,LEN(K256)-2),K256)</f>
        <v>WETTEDWIDTH</v>
      </c>
      <c r="M256" s="30" t="str">
        <f>INDEX(Active!J:J, MATCH(Spearmans2!L256, Active!F:F,0),1)</f>
        <v>Predicted Wetted Width</v>
      </c>
      <c r="N256" s="30" t="str">
        <f>INDEX(Active!B:B, MATCH(Spearmans2!L256, Active!F:F,0),1)</f>
        <v>Natural</v>
      </c>
      <c r="O256" s="30" t="str">
        <f>INDEX(Active!K:K, MATCH(Spearmans2!L256, Active!F:F,0),1)</f>
        <v>Predicted wetted width: distance of the waters edge from left to right bank</v>
      </c>
      <c r="P256" s="53" t="s">
        <v>726</v>
      </c>
      <c r="Q256" s="30" t="s">
        <v>103</v>
      </c>
      <c r="R256" s="30" t="s">
        <v>727</v>
      </c>
      <c r="S256" s="31">
        <v>0.96508851159221876</v>
      </c>
    </row>
    <row r="257" spans="1:19" s="19" customFormat="1" x14ac:dyDescent="0.3">
      <c r="A257" s="37" t="s">
        <v>19</v>
      </c>
      <c r="B257" s="25" t="str">
        <f>IF(RIGHT(A257,2)="WS", LEFT(A257,LEN(A257)-2),A257)</f>
        <v>TMAX8110</v>
      </c>
      <c r="C257" s="25" t="str">
        <f>INDEX(Active!J:J, MATCH(Spearmans2!B257, Active!F:F,0),1)</f>
        <v>30-year Average Annual Normal Maximum Air Temperature</v>
      </c>
      <c r="D257" s="25" t="str">
        <f>INDEX(Active!B:B, MATCH(Spearmans2!B257, Active!F:F,0),1)</f>
        <v>Natural</v>
      </c>
      <c r="E257" s="25" t="str">
        <f>INDEX(Active!D:D, MATCH(Spearmans2!B257, Active!F:F,0),1)</f>
        <v>Climate</v>
      </c>
      <c r="F257" s="25" t="str">
        <f>INDEX(Active!K:K, MATCH(Spearmans2!B257, Active!F:F,0),1)</f>
        <v>PRISM climate data - 30-year normal maximum temperature (CÂ°): Annual period: 1981-2010 within the AOI</v>
      </c>
      <c r="G257" s="37" t="s">
        <v>684</v>
      </c>
      <c r="H257" s="25" t="s">
        <v>103</v>
      </c>
      <c r="I257" s="25" t="s">
        <v>133</v>
      </c>
      <c r="J257" s="25" t="s">
        <v>685</v>
      </c>
      <c r="K257" s="55" t="s">
        <v>21</v>
      </c>
      <c r="L257" s="26" t="str">
        <f>IF(RIGHT(K257,2)="WS", LEFT(K257,LEN(K257)-2),K257)</f>
        <v>TMIN8110</v>
      </c>
      <c r="M257" s="26" t="str">
        <f>INDEX(Active!J:J, MATCH(Spearmans2!L257, Active!F:F,0),1)</f>
        <v>30-year Average Annual Normal Minimum Air Temperature</v>
      </c>
      <c r="N257" s="26" t="str">
        <f>INDEX(Active!B:B, MATCH(Spearmans2!L257, Active!F:F,0),1)</f>
        <v>Natural</v>
      </c>
      <c r="O257" s="26" t="str">
        <f>INDEX(Active!K:K, MATCH(Spearmans2!L257, Active!F:F,0),1)</f>
        <v>PRISM climate data - 30-year normal minimum temperature (CÂ°): Annual period: 1981-2010 within the AOI</v>
      </c>
      <c r="P257" s="52" t="s">
        <v>702</v>
      </c>
      <c r="Q257" s="26" t="s">
        <v>103</v>
      </c>
      <c r="R257" s="26" t="s">
        <v>703</v>
      </c>
      <c r="S257" s="27">
        <v>0.82426069727064755</v>
      </c>
    </row>
    <row r="258" spans="1:19" s="20" customFormat="1" x14ac:dyDescent="0.3">
      <c r="A258" s="33" t="s">
        <v>19</v>
      </c>
      <c r="B258" s="23" t="str">
        <f>IF(RIGHT(A258,2)="WS", LEFT(A258,LEN(A258)-2),A258)</f>
        <v>TMAX8110</v>
      </c>
      <c r="C258" s="23" t="str">
        <f>INDEX(Active!J:J, MATCH(Spearmans2!B258, Active!F:F,0),1)</f>
        <v>30-year Average Annual Normal Maximum Air Temperature</v>
      </c>
      <c r="D258" s="23" t="str">
        <f>INDEX(Active!B:B, MATCH(Spearmans2!B258, Active!F:F,0),1)</f>
        <v>Natural</v>
      </c>
      <c r="E258" s="23" t="str">
        <f>INDEX(Active!D:D, MATCH(Spearmans2!B258, Active!F:F,0),1)</f>
        <v>Climate</v>
      </c>
      <c r="F258" s="23" t="str">
        <f>INDEX(Active!K:K, MATCH(Spearmans2!B258, Active!F:F,0),1)</f>
        <v>PRISM climate data - 30-year normal maximum temperature (CÂ°): Annual period: 1981-2010 within the AOI</v>
      </c>
      <c r="G258" s="33" t="s">
        <v>684</v>
      </c>
      <c r="H258" s="23" t="s">
        <v>103</v>
      </c>
      <c r="I258" s="23" t="s">
        <v>133</v>
      </c>
      <c r="J258" s="23" t="s">
        <v>685</v>
      </c>
      <c r="K258" s="56" t="s">
        <v>25</v>
      </c>
      <c r="L258" s="24" t="str">
        <f>IF(RIGHT(K258,2)="WS", LEFT(K258,LEN(K258)-2),K258)</f>
        <v>TMIN9120</v>
      </c>
      <c r="M258" s="24" t="str">
        <f>INDEX(Active!J:J, MATCH(Spearmans2!L258, Active!F:F,0),1)</f>
        <v>30-year Average Annual Normal Minimum Air Temperature</v>
      </c>
      <c r="N258" s="24" t="str">
        <f>INDEX(Active!B:B, MATCH(Spearmans2!L258, Active!F:F,0),1)</f>
        <v>Natural</v>
      </c>
      <c r="O258" s="24" t="str">
        <f>INDEX(Active!K:K, MATCH(Spearmans2!L258, Active!F:F,0),1)</f>
        <v>PRISM climate data - 30-year normal minimum temperature (CÂ°): Annual period: 1991-2020 within the AOI</v>
      </c>
      <c r="P258" s="34" t="s">
        <v>702</v>
      </c>
      <c r="Q258" s="24" t="s">
        <v>103</v>
      </c>
      <c r="R258" s="24" t="s">
        <v>706</v>
      </c>
      <c r="S258" s="28">
        <v>0.82902908639856532</v>
      </c>
    </row>
    <row r="259" spans="1:19" s="20" customFormat="1" x14ac:dyDescent="0.3">
      <c r="A259" s="33" t="s">
        <v>19</v>
      </c>
      <c r="B259" s="23" t="str">
        <f>IF(RIGHT(A259,2)="WS", LEFT(A259,LEN(A259)-2),A259)</f>
        <v>TMAX8110</v>
      </c>
      <c r="C259" s="23" t="str">
        <f>INDEX(Active!J:J, MATCH(Spearmans2!B259, Active!F:F,0),1)</f>
        <v>30-year Average Annual Normal Maximum Air Temperature</v>
      </c>
      <c r="D259" s="23" t="str">
        <f>INDEX(Active!B:B, MATCH(Spearmans2!B259, Active!F:F,0),1)</f>
        <v>Natural</v>
      </c>
      <c r="E259" s="23" t="str">
        <f>INDEX(Active!D:D, MATCH(Spearmans2!B259, Active!F:F,0),1)</f>
        <v>Climate</v>
      </c>
      <c r="F259" s="23" t="str">
        <f>INDEX(Active!K:K, MATCH(Spearmans2!B259, Active!F:F,0),1)</f>
        <v>PRISM climate data - 30-year normal maximum temperature (CÂ°): Annual period: 1981-2010 within the AOI</v>
      </c>
      <c r="G259" s="33" t="s">
        <v>684</v>
      </c>
      <c r="H259" s="23" t="s">
        <v>103</v>
      </c>
      <c r="I259" s="23" t="s">
        <v>133</v>
      </c>
      <c r="J259" s="23" t="s">
        <v>685</v>
      </c>
      <c r="K259" s="56" t="s">
        <v>26</v>
      </c>
      <c r="L259" s="24" t="str">
        <f>IF(RIGHT(K259,2)="WS", LEFT(K259,LEN(K259)-2),K259)</f>
        <v>MAST2008</v>
      </c>
      <c r="M259" s="24" t="str">
        <f>INDEX(Active!J:J, MATCH(Spearmans2!L259, Active!F:F,0),1)</f>
        <v>Mean Annual Stream Temp</v>
      </c>
      <c r="N259" s="24" t="str">
        <f>INDEX(Active!B:B, MATCH(Spearmans2!L259, Active!F:F,0),1)</f>
        <v>Natural</v>
      </c>
      <c r="O259" s="24" t="str">
        <f>INDEX(Active!K:K, MATCH(Spearmans2!L259, Active!F:F,0),1)</f>
        <v>Predicted mean annual stream temperature (Jan-Dec) for year 2008, 2009, 2013, 2014</v>
      </c>
      <c r="P259" s="34" t="s">
        <v>281</v>
      </c>
      <c r="Q259" s="24" t="s">
        <v>103</v>
      </c>
      <c r="R259" s="24" t="s">
        <v>282</v>
      </c>
      <c r="S259" s="28">
        <v>0.87754138741622489</v>
      </c>
    </row>
    <row r="260" spans="1:19" s="20" customFormat="1" x14ac:dyDescent="0.3">
      <c r="A260" s="33" t="s">
        <v>19</v>
      </c>
      <c r="B260" s="23" t="str">
        <f>IF(RIGHT(A260,2)="WS", LEFT(A260,LEN(A260)-2),A260)</f>
        <v>TMAX8110</v>
      </c>
      <c r="C260" s="23" t="str">
        <f>INDEX(Active!J:J, MATCH(Spearmans2!B260, Active!F:F,0),1)</f>
        <v>30-year Average Annual Normal Maximum Air Temperature</v>
      </c>
      <c r="D260" s="23" t="str">
        <f>INDEX(Active!B:B, MATCH(Spearmans2!B260, Active!F:F,0),1)</f>
        <v>Natural</v>
      </c>
      <c r="E260" s="23" t="str">
        <f>INDEX(Active!D:D, MATCH(Spearmans2!B260, Active!F:F,0),1)</f>
        <v>Climate</v>
      </c>
      <c r="F260" s="23" t="str">
        <f>INDEX(Active!K:K, MATCH(Spearmans2!B260, Active!F:F,0),1)</f>
        <v>PRISM climate data - 30-year normal maximum temperature (CÂ°): Annual period: 1981-2010 within the AOI</v>
      </c>
      <c r="G260" s="33" t="s">
        <v>684</v>
      </c>
      <c r="H260" s="23" t="s">
        <v>103</v>
      </c>
      <c r="I260" s="23" t="s">
        <v>133</v>
      </c>
      <c r="J260" s="23" t="s">
        <v>685</v>
      </c>
      <c r="K260" s="56" t="s">
        <v>20</v>
      </c>
      <c r="L260" s="24" t="str">
        <f>IF(RIGHT(K260,2)="WS", LEFT(K260,LEN(K260)-2),K260)</f>
        <v>TMEAN8110</v>
      </c>
      <c r="M260" s="24" t="str">
        <f>INDEX(Active!J:J, MATCH(Spearmans2!L260, Active!F:F,0),1)</f>
        <v>30-year Mean Annual Air Temperature</v>
      </c>
      <c r="N260" s="24" t="str">
        <f>INDEX(Active!B:B, MATCH(Spearmans2!L260, Active!F:F,0),1)</f>
        <v>Natural</v>
      </c>
      <c r="O260" s="24" t="str">
        <f>INDEX(Active!K:K, MATCH(Spearmans2!L260, Active!F:F,0),1)</f>
        <v>PRISM climate data - 30-year normal mean temperature (CÂ°): Annual period: 1981-2010 within the AOI</v>
      </c>
      <c r="P260" s="34" t="s">
        <v>695</v>
      </c>
      <c r="Q260" s="24" t="s">
        <v>103</v>
      </c>
      <c r="R260" s="24" t="s">
        <v>696</v>
      </c>
      <c r="S260" s="28">
        <v>0.94738254428528612</v>
      </c>
    </row>
    <row r="261" spans="1:19" s="20" customFormat="1" x14ac:dyDescent="0.3">
      <c r="A261" s="33" t="s">
        <v>19</v>
      </c>
      <c r="B261" s="23" t="str">
        <f>IF(RIGHT(A261,2)="WS", LEFT(A261,LEN(A261)-2),A261)</f>
        <v>TMAX8110</v>
      </c>
      <c r="C261" s="23" t="str">
        <f>INDEX(Active!J:J, MATCH(Spearmans2!B261, Active!F:F,0),1)</f>
        <v>30-year Average Annual Normal Maximum Air Temperature</v>
      </c>
      <c r="D261" s="23" t="str">
        <f>INDEX(Active!B:B, MATCH(Spearmans2!B261, Active!F:F,0),1)</f>
        <v>Natural</v>
      </c>
      <c r="E261" s="23" t="str">
        <f>INDEX(Active!D:D, MATCH(Spearmans2!B261, Active!F:F,0),1)</f>
        <v>Climate</v>
      </c>
      <c r="F261" s="23" t="str">
        <f>INDEX(Active!K:K, MATCH(Spearmans2!B261, Active!F:F,0),1)</f>
        <v>PRISM climate data - 30-year normal maximum temperature (CÂ°): Annual period: 1981-2010 within the AOI</v>
      </c>
      <c r="G261" s="33" t="s">
        <v>684</v>
      </c>
      <c r="H261" s="23" t="s">
        <v>103</v>
      </c>
      <c r="I261" s="23" t="s">
        <v>133</v>
      </c>
      <c r="J261" s="23" t="s">
        <v>685</v>
      </c>
      <c r="K261" s="56" t="s">
        <v>24</v>
      </c>
      <c r="L261" s="24" t="str">
        <f>IF(RIGHT(K261,2)="WS", LEFT(K261,LEN(K261)-2),K261)</f>
        <v>TMEAN9120</v>
      </c>
      <c r="M261" s="24" t="str">
        <f>INDEX(Active!J:J, MATCH(Spearmans2!L261, Active!F:F,0),1)</f>
        <v>30-year Mean Annual Air Temperature</v>
      </c>
      <c r="N261" s="24" t="str">
        <f>INDEX(Active!B:B, MATCH(Spearmans2!L261, Active!F:F,0),1)</f>
        <v>Natural</v>
      </c>
      <c r="O261" s="24" t="str">
        <f>INDEX(Active!K:K, MATCH(Spearmans2!L261, Active!F:F,0),1)</f>
        <v>PRISM climate data - 30-year normal mean temperature (CÂ°): Annual period: 1991-2020 within the AOI</v>
      </c>
      <c r="P261" s="34" t="s">
        <v>695</v>
      </c>
      <c r="Q261" s="24" t="s">
        <v>103</v>
      </c>
      <c r="R261" s="24" t="s">
        <v>699</v>
      </c>
      <c r="S261" s="28">
        <v>0.94790979094434058</v>
      </c>
    </row>
    <row r="262" spans="1:19" s="20" customFormat="1" x14ac:dyDescent="0.3">
      <c r="A262" s="33" t="s">
        <v>19</v>
      </c>
      <c r="B262" s="23" t="str">
        <f>IF(RIGHT(A262,2)="WS", LEFT(A262,LEN(A262)-2),A262)</f>
        <v>TMAX8110</v>
      </c>
      <c r="C262" s="23" t="str">
        <f>INDEX(Active!J:J, MATCH(Spearmans2!B262, Active!F:F,0),1)</f>
        <v>30-year Average Annual Normal Maximum Air Temperature</v>
      </c>
      <c r="D262" s="23" t="str">
        <f>INDEX(Active!B:B, MATCH(Spearmans2!B262, Active!F:F,0),1)</f>
        <v>Natural</v>
      </c>
      <c r="E262" s="23" t="str">
        <f>INDEX(Active!D:D, MATCH(Spearmans2!B262, Active!F:F,0),1)</f>
        <v>Climate</v>
      </c>
      <c r="F262" s="23" t="str">
        <f>INDEX(Active!K:K, MATCH(Spearmans2!B262, Active!F:F,0),1)</f>
        <v>PRISM climate data - 30-year normal maximum temperature (CÂ°): Annual period: 1981-2010 within the AOI</v>
      </c>
      <c r="G262" s="33" t="s">
        <v>684</v>
      </c>
      <c r="H262" s="23" t="s">
        <v>103</v>
      </c>
      <c r="I262" s="23" t="s">
        <v>133</v>
      </c>
      <c r="J262" s="23" t="s">
        <v>685</v>
      </c>
      <c r="K262" s="56" t="s">
        <v>22</v>
      </c>
      <c r="L262" s="24" t="str">
        <f>IF(RIGHT(K262,2)="WS", LEFT(K262,LEN(K262)-2),K262)</f>
        <v>TMEAN2008</v>
      </c>
      <c r="M262" s="24" t="str">
        <f>INDEX(Active!J:J, MATCH(Spearmans2!L262, Active!F:F,0),1)</f>
        <v>Mean Air Temperature</v>
      </c>
      <c r="N262" s="24" t="str">
        <f>INDEX(Active!B:B, MATCH(Spearmans2!L262, Active!F:F,0),1)</f>
        <v>Natural</v>
      </c>
      <c r="O262" s="24" t="str">
        <f>INDEX(Active!K:K, MATCH(Spearmans2!L262, Active!F:F,0),1)</f>
        <v>PRISM climate data - Mean temperature (°C) within the AOI. Period: 2008 and 2009</v>
      </c>
      <c r="P262" s="34" t="s">
        <v>691</v>
      </c>
      <c r="Q262" s="24" t="s">
        <v>103</v>
      </c>
      <c r="R262" s="24" t="s">
        <v>692</v>
      </c>
      <c r="S262" s="28">
        <v>0.94884155071010434</v>
      </c>
    </row>
    <row r="263" spans="1:19" s="21" customFormat="1" x14ac:dyDescent="0.3">
      <c r="A263" s="38" t="s">
        <v>19</v>
      </c>
      <c r="B263" s="29" t="str">
        <f>IF(RIGHT(A263,2)="WS", LEFT(A263,LEN(A263)-2),A263)</f>
        <v>TMAX8110</v>
      </c>
      <c r="C263" s="29" t="str">
        <f>INDEX(Active!J:J, MATCH(Spearmans2!B263, Active!F:F,0),1)</f>
        <v>30-year Average Annual Normal Maximum Air Temperature</v>
      </c>
      <c r="D263" s="29" t="str">
        <f>INDEX(Active!B:B, MATCH(Spearmans2!B263, Active!F:F,0),1)</f>
        <v>Natural</v>
      </c>
      <c r="E263" s="29" t="str">
        <f>INDEX(Active!D:D, MATCH(Spearmans2!B263, Active!F:F,0),1)</f>
        <v>Climate</v>
      </c>
      <c r="F263" s="29" t="str">
        <f>INDEX(Active!K:K, MATCH(Spearmans2!B263, Active!F:F,0),1)</f>
        <v>PRISM climate data - 30-year normal maximum temperature (CÂ°): Annual period: 1981-2010 within the AOI</v>
      </c>
      <c r="G263" s="38" t="s">
        <v>684</v>
      </c>
      <c r="H263" s="29" t="s">
        <v>103</v>
      </c>
      <c r="I263" s="29" t="s">
        <v>133</v>
      </c>
      <c r="J263" s="29" t="s">
        <v>685</v>
      </c>
      <c r="K263" s="57" t="s">
        <v>23</v>
      </c>
      <c r="L263" s="30" t="str">
        <f>IF(RIGHT(K263,2)="WS", LEFT(K263,LEN(K263)-2),K263)</f>
        <v>TMAX9120</v>
      </c>
      <c r="M263" s="30" t="str">
        <f>INDEX(Active!J:J, MATCH(Spearmans2!L263, Active!F:F,0),1)</f>
        <v>30-year Average Annual Normal Maximum Air Temperature</v>
      </c>
      <c r="N263" s="30" t="str">
        <f>INDEX(Active!B:B, MATCH(Spearmans2!L263, Active!F:F,0),1)</f>
        <v>Natural</v>
      </c>
      <c r="O263" s="30" t="str">
        <f>INDEX(Active!K:K, MATCH(Spearmans2!L263, Active!F:F,0),1)</f>
        <v>PRISM climate data - 30-year normal maximum temperature (CÂ°): Annual period: 1991-2020 within the AOI</v>
      </c>
      <c r="P263" s="53" t="s">
        <v>684</v>
      </c>
      <c r="Q263" s="30" t="s">
        <v>103</v>
      </c>
      <c r="R263" s="30" t="s">
        <v>688</v>
      </c>
      <c r="S263" s="31">
        <v>0.99561080636596844</v>
      </c>
    </row>
    <row r="264" spans="1:19" s="19" customFormat="1" x14ac:dyDescent="0.3">
      <c r="A264" s="37" t="s">
        <v>23</v>
      </c>
      <c r="B264" s="25" t="str">
        <f>IF(RIGHT(A264,2)="WS", LEFT(A264,LEN(A264)-2),A264)</f>
        <v>TMAX9120</v>
      </c>
      <c r="C264" s="25" t="str">
        <f>INDEX(Active!J:J, MATCH(Spearmans2!B264, Active!F:F,0),1)</f>
        <v>30-year Average Annual Normal Maximum Air Temperature</v>
      </c>
      <c r="D264" s="25" t="str">
        <f>INDEX(Active!B:B, MATCH(Spearmans2!B264, Active!F:F,0),1)</f>
        <v>Natural</v>
      </c>
      <c r="E264" s="25" t="str">
        <f>INDEX(Active!D:D, MATCH(Spearmans2!B264, Active!F:F,0),1)</f>
        <v>Climate</v>
      </c>
      <c r="F264" s="25" t="str">
        <f>INDEX(Active!K:K, MATCH(Spearmans2!B264, Active!F:F,0),1)</f>
        <v>PRISM climate data - 30-year normal maximum temperature (CÂ°): Annual period: 1991-2020 within the AOI</v>
      </c>
      <c r="G264" s="37" t="s">
        <v>684</v>
      </c>
      <c r="H264" s="25" t="s">
        <v>103</v>
      </c>
      <c r="I264" s="25" t="s">
        <v>133</v>
      </c>
      <c r="J264" s="25" t="s">
        <v>688</v>
      </c>
      <c r="K264" s="55" t="s">
        <v>21</v>
      </c>
      <c r="L264" s="26" t="str">
        <f>IF(RIGHT(K264,2)="WS", LEFT(K264,LEN(K264)-2),K264)</f>
        <v>TMIN8110</v>
      </c>
      <c r="M264" s="26" t="str">
        <f>INDEX(Active!J:J, MATCH(Spearmans2!L264, Active!F:F,0),1)</f>
        <v>30-year Average Annual Normal Minimum Air Temperature</v>
      </c>
      <c r="N264" s="26" t="str">
        <f>INDEX(Active!B:B, MATCH(Spearmans2!L264, Active!F:F,0),1)</f>
        <v>Natural</v>
      </c>
      <c r="O264" s="26" t="str">
        <f>INDEX(Active!K:K, MATCH(Spearmans2!L264, Active!F:F,0),1)</f>
        <v>PRISM climate data - 30-year normal minimum temperature (CÂ°): Annual period: 1981-2010 within the AOI</v>
      </c>
      <c r="P264" s="52" t="s">
        <v>702</v>
      </c>
      <c r="Q264" s="26" t="s">
        <v>103</v>
      </c>
      <c r="R264" s="26" t="s">
        <v>703</v>
      </c>
      <c r="S264" s="27">
        <v>0.80781328492235061</v>
      </c>
    </row>
    <row r="265" spans="1:19" s="20" customFormat="1" x14ac:dyDescent="0.3">
      <c r="A265" s="33" t="s">
        <v>23</v>
      </c>
      <c r="B265" s="23" t="str">
        <f>IF(RIGHT(A265,2)="WS", LEFT(A265,LEN(A265)-2),A265)</f>
        <v>TMAX9120</v>
      </c>
      <c r="C265" s="23" t="str">
        <f>INDEX(Active!J:J, MATCH(Spearmans2!B265, Active!F:F,0),1)</f>
        <v>30-year Average Annual Normal Maximum Air Temperature</v>
      </c>
      <c r="D265" s="23" t="str">
        <f>INDEX(Active!B:B, MATCH(Spearmans2!B265, Active!F:F,0),1)</f>
        <v>Natural</v>
      </c>
      <c r="E265" s="23" t="str">
        <f>INDEX(Active!D:D, MATCH(Spearmans2!B265, Active!F:F,0),1)</f>
        <v>Climate</v>
      </c>
      <c r="F265" s="23" t="str">
        <f>INDEX(Active!K:K, MATCH(Spearmans2!B265, Active!F:F,0),1)</f>
        <v>PRISM climate data - 30-year normal maximum temperature (CÂ°): Annual period: 1991-2020 within the AOI</v>
      </c>
      <c r="G265" s="33" t="s">
        <v>684</v>
      </c>
      <c r="H265" s="23" t="s">
        <v>103</v>
      </c>
      <c r="I265" s="23" t="s">
        <v>133</v>
      </c>
      <c r="J265" s="23" t="s">
        <v>688</v>
      </c>
      <c r="K265" s="56" t="s">
        <v>25</v>
      </c>
      <c r="L265" s="24" t="str">
        <f>IF(RIGHT(K265,2)="WS", LEFT(K265,LEN(K265)-2),K265)</f>
        <v>TMIN9120</v>
      </c>
      <c r="M265" s="24" t="str">
        <f>INDEX(Active!J:J, MATCH(Spearmans2!L265, Active!F:F,0),1)</f>
        <v>30-year Average Annual Normal Minimum Air Temperature</v>
      </c>
      <c r="N265" s="24" t="str">
        <f>INDEX(Active!B:B, MATCH(Spearmans2!L265, Active!F:F,0),1)</f>
        <v>Natural</v>
      </c>
      <c r="O265" s="24" t="str">
        <f>INDEX(Active!K:K, MATCH(Spearmans2!L265, Active!F:F,0),1)</f>
        <v>PRISM climate data - 30-year normal minimum temperature (CÂ°): Annual period: 1991-2020 within the AOI</v>
      </c>
      <c r="P265" s="34" t="s">
        <v>702</v>
      </c>
      <c r="Q265" s="24" t="s">
        <v>103</v>
      </c>
      <c r="R265" s="24" t="s">
        <v>706</v>
      </c>
      <c r="S265" s="28">
        <v>0.81390503536145942</v>
      </c>
    </row>
    <row r="266" spans="1:19" s="20" customFormat="1" x14ac:dyDescent="0.3">
      <c r="A266" s="33" t="s">
        <v>23</v>
      </c>
      <c r="B266" s="23" t="str">
        <f>IF(RIGHT(A266,2)="WS", LEFT(A266,LEN(A266)-2),A266)</f>
        <v>TMAX9120</v>
      </c>
      <c r="C266" s="23" t="str">
        <f>INDEX(Active!J:J, MATCH(Spearmans2!B266, Active!F:F,0),1)</f>
        <v>30-year Average Annual Normal Maximum Air Temperature</v>
      </c>
      <c r="D266" s="23" t="str">
        <f>INDEX(Active!B:B, MATCH(Spearmans2!B266, Active!F:F,0),1)</f>
        <v>Natural</v>
      </c>
      <c r="E266" s="23" t="str">
        <f>INDEX(Active!D:D, MATCH(Spearmans2!B266, Active!F:F,0),1)</f>
        <v>Climate</v>
      </c>
      <c r="F266" s="23" t="str">
        <f>INDEX(Active!K:K, MATCH(Spearmans2!B266, Active!F:F,0),1)</f>
        <v>PRISM climate data - 30-year normal maximum temperature (CÂ°): Annual period: 1991-2020 within the AOI</v>
      </c>
      <c r="G266" s="33" t="s">
        <v>684</v>
      </c>
      <c r="H266" s="23" t="s">
        <v>103</v>
      </c>
      <c r="I266" s="23" t="s">
        <v>133</v>
      </c>
      <c r="J266" s="23" t="s">
        <v>688</v>
      </c>
      <c r="K266" s="56" t="s">
        <v>26</v>
      </c>
      <c r="L266" s="24" t="str">
        <f>IF(RIGHT(K266,2)="WS", LEFT(K266,LEN(K266)-2),K266)</f>
        <v>MAST2008</v>
      </c>
      <c r="M266" s="24" t="str">
        <f>INDEX(Active!J:J, MATCH(Spearmans2!L266, Active!F:F,0),1)</f>
        <v>Mean Annual Stream Temp</v>
      </c>
      <c r="N266" s="24" t="str">
        <f>INDEX(Active!B:B, MATCH(Spearmans2!L266, Active!F:F,0),1)</f>
        <v>Natural</v>
      </c>
      <c r="O266" s="24" t="str">
        <f>INDEX(Active!K:K, MATCH(Spearmans2!L266, Active!F:F,0),1)</f>
        <v>Predicted mean annual stream temperature (Jan-Dec) for year 2008, 2009, 2013, 2014</v>
      </c>
      <c r="P266" s="34" t="s">
        <v>281</v>
      </c>
      <c r="Q266" s="24" t="s">
        <v>103</v>
      </c>
      <c r="R266" s="24" t="s">
        <v>282</v>
      </c>
      <c r="S266" s="28">
        <v>0.87815354140140345</v>
      </c>
    </row>
    <row r="267" spans="1:19" s="20" customFormat="1" x14ac:dyDescent="0.3">
      <c r="A267" s="33" t="s">
        <v>23</v>
      </c>
      <c r="B267" s="23" t="str">
        <f>IF(RIGHT(A267,2)="WS", LEFT(A267,LEN(A267)-2),A267)</f>
        <v>TMAX9120</v>
      </c>
      <c r="C267" s="23" t="str">
        <f>INDEX(Active!J:J, MATCH(Spearmans2!B267, Active!F:F,0),1)</f>
        <v>30-year Average Annual Normal Maximum Air Temperature</v>
      </c>
      <c r="D267" s="23" t="str">
        <f>INDEX(Active!B:B, MATCH(Spearmans2!B267, Active!F:F,0),1)</f>
        <v>Natural</v>
      </c>
      <c r="E267" s="23" t="str">
        <f>INDEX(Active!D:D, MATCH(Spearmans2!B267, Active!F:F,0),1)</f>
        <v>Climate</v>
      </c>
      <c r="F267" s="23" t="str">
        <f>INDEX(Active!K:K, MATCH(Spearmans2!B267, Active!F:F,0),1)</f>
        <v>PRISM climate data - 30-year normal maximum temperature (CÂ°): Annual period: 1991-2020 within the AOI</v>
      </c>
      <c r="G267" s="33" t="s">
        <v>684</v>
      </c>
      <c r="H267" s="23" t="s">
        <v>103</v>
      </c>
      <c r="I267" s="23" t="s">
        <v>133</v>
      </c>
      <c r="J267" s="23" t="s">
        <v>688</v>
      </c>
      <c r="K267" s="56" t="s">
        <v>20</v>
      </c>
      <c r="L267" s="24" t="str">
        <f>IF(RIGHT(K267,2)="WS", LEFT(K267,LEN(K267)-2),K267)</f>
        <v>TMEAN8110</v>
      </c>
      <c r="M267" s="24" t="str">
        <f>INDEX(Active!J:J, MATCH(Spearmans2!L267, Active!F:F,0),1)</f>
        <v>30-year Mean Annual Air Temperature</v>
      </c>
      <c r="N267" s="24" t="str">
        <f>INDEX(Active!B:B, MATCH(Spearmans2!L267, Active!F:F,0),1)</f>
        <v>Natural</v>
      </c>
      <c r="O267" s="24" t="str">
        <f>INDEX(Active!K:K, MATCH(Spearmans2!L267, Active!F:F,0),1)</f>
        <v>PRISM climate data - 30-year normal mean temperature (CÂ°): Annual period: 1981-2010 within the AOI</v>
      </c>
      <c r="P267" s="34" t="s">
        <v>695</v>
      </c>
      <c r="Q267" s="24" t="s">
        <v>103</v>
      </c>
      <c r="R267" s="24" t="s">
        <v>696</v>
      </c>
      <c r="S267" s="28">
        <v>0.93555898740501431</v>
      </c>
    </row>
    <row r="268" spans="1:19" s="20" customFormat="1" x14ac:dyDescent="0.3">
      <c r="A268" s="33" t="s">
        <v>23</v>
      </c>
      <c r="B268" s="23" t="str">
        <f>IF(RIGHT(A268,2)="WS", LEFT(A268,LEN(A268)-2),A268)</f>
        <v>TMAX9120</v>
      </c>
      <c r="C268" s="23" t="str">
        <f>INDEX(Active!J:J, MATCH(Spearmans2!B268, Active!F:F,0),1)</f>
        <v>30-year Average Annual Normal Maximum Air Temperature</v>
      </c>
      <c r="D268" s="23" t="str">
        <f>INDEX(Active!B:B, MATCH(Spearmans2!B268, Active!F:F,0),1)</f>
        <v>Natural</v>
      </c>
      <c r="E268" s="23" t="str">
        <f>INDEX(Active!D:D, MATCH(Spearmans2!B268, Active!F:F,0),1)</f>
        <v>Climate</v>
      </c>
      <c r="F268" s="23" t="str">
        <f>INDEX(Active!K:K, MATCH(Spearmans2!B268, Active!F:F,0),1)</f>
        <v>PRISM climate data - 30-year normal maximum temperature (CÂ°): Annual period: 1991-2020 within the AOI</v>
      </c>
      <c r="G268" s="33" t="s">
        <v>684</v>
      </c>
      <c r="H268" s="23" t="s">
        <v>103</v>
      </c>
      <c r="I268" s="23" t="s">
        <v>133</v>
      </c>
      <c r="J268" s="23" t="s">
        <v>688</v>
      </c>
      <c r="K268" s="56" t="s">
        <v>22</v>
      </c>
      <c r="L268" s="24" t="str">
        <f>IF(RIGHT(K268,2)="WS", LEFT(K268,LEN(K268)-2),K268)</f>
        <v>TMEAN2008</v>
      </c>
      <c r="M268" s="24" t="str">
        <f>INDEX(Active!J:J, MATCH(Spearmans2!L268, Active!F:F,0),1)</f>
        <v>Mean Air Temperature</v>
      </c>
      <c r="N268" s="24" t="str">
        <f>INDEX(Active!B:B, MATCH(Spearmans2!L268, Active!F:F,0),1)</f>
        <v>Natural</v>
      </c>
      <c r="O268" s="24" t="str">
        <f>INDEX(Active!K:K, MATCH(Spearmans2!L268, Active!F:F,0),1)</f>
        <v>PRISM climate data - Mean temperature (°C) within the AOI. Period: 2008 and 2009</v>
      </c>
      <c r="P268" s="34" t="s">
        <v>691</v>
      </c>
      <c r="Q268" s="24" t="s">
        <v>103</v>
      </c>
      <c r="R268" s="24" t="s">
        <v>692</v>
      </c>
      <c r="S268" s="28">
        <v>0.94023701666686677</v>
      </c>
    </row>
    <row r="269" spans="1:19" s="20" customFormat="1" x14ac:dyDescent="0.3">
      <c r="A269" s="33" t="s">
        <v>23</v>
      </c>
      <c r="B269" s="23" t="str">
        <f>IF(RIGHT(A269,2)="WS", LEFT(A269,LEN(A269)-2),A269)</f>
        <v>TMAX9120</v>
      </c>
      <c r="C269" s="23" t="str">
        <f>INDEX(Active!J:J, MATCH(Spearmans2!B269, Active!F:F,0),1)</f>
        <v>30-year Average Annual Normal Maximum Air Temperature</v>
      </c>
      <c r="D269" s="23" t="str">
        <f>INDEX(Active!B:B, MATCH(Spearmans2!B269, Active!F:F,0),1)</f>
        <v>Natural</v>
      </c>
      <c r="E269" s="23" t="str">
        <f>INDEX(Active!D:D, MATCH(Spearmans2!B269, Active!F:F,0),1)</f>
        <v>Climate</v>
      </c>
      <c r="F269" s="23" t="str">
        <f>INDEX(Active!K:K, MATCH(Spearmans2!B269, Active!F:F,0),1)</f>
        <v>PRISM climate data - 30-year normal maximum temperature (CÂ°): Annual period: 1991-2020 within the AOI</v>
      </c>
      <c r="G269" s="33" t="s">
        <v>684</v>
      </c>
      <c r="H269" s="23" t="s">
        <v>103</v>
      </c>
      <c r="I269" s="23" t="s">
        <v>133</v>
      </c>
      <c r="J269" s="23" t="s">
        <v>688</v>
      </c>
      <c r="K269" s="56" t="s">
        <v>24</v>
      </c>
      <c r="L269" s="24" t="str">
        <f>IF(RIGHT(K269,2)="WS", LEFT(K269,LEN(K269)-2),K269)</f>
        <v>TMEAN9120</v>
      </c>
      <c r="M269" s="24" t="str">
        <f>INDEX(Active!J:J, MATCH(Spearmans2!L269, Active!F:F,0),1)</f>
        <v>30-year Mean Annual Air Temperature</v>
      </c>
      <c r="N269" s="24" t="str">
        <f>INDEX(Active!B:B, MATCH(Spearmans2!L269, Active!F:F,0),1)</f>
        <v>Natural</v>
      </c>
      <c r="O269" s="24" t="str">
        <f>INDEX(Active!K:K, MATCH(Spearmans2!L269, Active!F:F,0),1)</f>
        <v>PRISM climate data - 30-year normal mean temperature (CÂ°): Annual period: 1991-2020 within the AOI</v>
      </c>
      <c r="P269" s="34" t="s">
        <v>695</v>
      </c>
      <c r="Q269" s="24" t="s">
        <v>103</v>
      </c>
      <c r="R269" s="24" t="s">
        <v>699</v>
      </c>
      <c r="S269" s="28">
        <v>0.94046974071352274</v>
      </c>
    </row>
    <row r="270" spans="1:19" s="21" customFormat="1" x14ac:dyDescent="0.3">
      <c r="A270" s="38" t="s">
        <v>23</v>
      </c>
      <c r="B270" s="29" t="str">
        <f>IF(RIGHT(A270,2)="WS", LEFT(A270,LEN(A270)-2),A270)</f>
        <v>TMAX9120</v>
      </c>
      <c r="C270" s="29" t="str">
        <f>INDEX(Active!J:J, MATCH(Spearmans2!B270, Active!F:F,0),1)</f>
        <v>30-year Average Annual Normal Maximum Air Temperature</v>
      </c>
      <c r="D270" s="29" t="str">
        <f>INDEX(Active!B:B, MATCH(Spearmans2!B270, Active!F:F,0),1)</f>
        <v>Natural</v>
      </c>
      <c r="E270" s="29" t="str">
        <f>INDEX(Active!D:D, MATCH(Spearmans2!B270, Active!F:F,0),1)</f>
        <v>Climate</v>
      </c>
      <c r="F270" s="29" t="str">
        <f>INDEX(Active!K:K, MATCH(Spearmans2!B270, Active!F:F,0),1)</f>
        <v>PRISM climate data - 30-year normal maximum temperature (CÂ°): Annual period: 1991-2020 within the AOI</v>
      </c>
      <c r="G270" s="38" t="s">
        <v>684</v>
      </c>
      <c r="H270" s="29" t="s">
        <v>103</v>
      </c>
      <c r="I270" s="29" t="s">
        <v>133</v>
      </c>
      <c r="J270" s="29" t="s">
        <v>688</v>
      </c>
      <c r="K270" s="57" t="s">
        <v>19</v>
      </c>
      <c r="L270" s="30" t="str">
        <f>IF(RIGHT(K270,2)="WS", LEFT(K270,LEN(K270)-2),K270)</f>
        <v>TMAX8110</v>
      </c>
      <c r="M270" s="30" t="str">
        <f>INDEX(Active!J:J, MATCH(Spearmans2!L270, Active!F:F,0),1)</f>
        <v>30-year Average Annual Normal Maximum Air Temperature</v>
      </c>
      <c r="N270" s="30" t="str">
        <f>INDEX(Active!B:B, MATCH(Spearmans2!L270, Active!F:F,0),1)</f>
        <v>Natural</v>
      </c>
      <c r="O270" s="30" t="str">
        <f>INDEX(Active!K:K, MATCH(Spearmans2!L270, Active!F:F,0),1)</f>
        <v>PRISM climate data - 30-year normal maximum temperature (CÂ°): Annual period: 1981-2010 within the AOI</v>
      </c>
      <c r="P270" s="53" t="s">
        <v>684</v>
      </c>
      <c r="Q270" s="30" t="s">
        <v>103</v>
      </c>
      <c r="R270" s="30" t="s">
        <v>685</v>
      </c>
      <c r="S270" s="31">
        <v>0.99561080636596844</v>
      </c>
    </row>
    <row r="271" spans="1:19" s="19" customFormat="1" x14ac:dyDescent="0.3">
      <c r="A271" s="37" t="s">
        <v>22</v>
      </c>
      <c r="B271" s="25" t="str">
        <f>IF(RIGHT(A271,2)="WS", LEFT(A271,LEN(A271)-2),A271)</f>
        <v>TMEAN2008</v>
      </c>
      <c r="C271" s="25" t="str">
        <f>INDEX(Active!J:J, MATCH(Spearmans2!B271, Active!F:F,0),1)</f>
        <v>Mean Air Temperature</v>
      </c>
      <c r="D271" s="25" t="str">
        <f>INDEX(Active!B:B, MATCH(Spearmans2!B271, Active!F:F,0),1)</f>
        <v>Natural</v>
      </c>
      <c r="E271" s="25" t="str">
        <f>INDEX(Active!D:D, MATCH(Spearmans2!B271, Active!F:F,0),1)</f>
        <v>Climate</v>
      </c>
      <c r="F271" s="25" t="str">
        <f>INDEX(Active!K:K, MATCH(Spearmans2!B271, Active!F:F,0),1)</f>
        <v>PRISM climate data - Mean temperature (°C) within the AOI. Period: 2008 and 2009</v>
      </c>
      <c r="G271" s="37" t="s">
        <v>691</v>
      </c>
      <c r="H271" s="25" t="s">
        <v>103</v>
      </c>
      <c r="I271" s="25" t="s">
        <v>133</v>
      </c>
      <c r="J271" s="25" t="s">
        <v>692</v>
      </c>
      <c r="K271" s="55" t="s">
        <v>35</v>
      </c>
      <c r="L271" s="26" t="str">
        <f>IF(RIGHT(K271,2)="WS", LEFT(K271,LEN(K271)-2),K271)</f>
        <v>ELEV</v>
      </c>
      <c r="M271" s="26" t="str">
        <f>INDEX(Active!J:J, MATCH(Spearmans2!L271, Active!F:F,0),1)</f>
        <v>Mean Elevation</v>
      </c>
      <c r="N271" s="26" t="str">
        <f>INDEX(Active!B:B, MATCH(Spearmans2!L271, Active!F:F,0),1)</f>
        <v>Natural</v>
      </c>
      <c r="O271" s="26" t="str">
        <f>INDEX(Active!K:K, MATCH(Spearmans2!L271, Active!F:F,0),1)</f>
        <v>Mean AOI elevation (m)</v>
      </c>
      <c r="P271" s="52" t="s">
        <v>217</v>
      </c>
      <c r="Q271" s="26" t="s">
        <v>103</v>
      </c>
      <c r="R271" s="26" t="s">
        <v>218</v>
      </c>
      <c r="S271" s="27">
        <v>-0.8572689667781106</v>
      </c>
    </row>
    <row r="272" spans="1:19" s="20" customFormat="1" x14ac:dyDescent="0.3">
      <c r="A272" s="33" t="s">
        <v>22</v>
      </c>
      <c r="B272" s="23" t="str">
        <f>IF(RIGHT(A272,2)="WS", LEFT(A272,LEN(A272)-2),A272)</f>
        <v>TMEAN2008</v>
      </c>
      <c r="C272" s="23" t="str">
        <f>INDEX(Active!J:J, MATCH(Spearmans2!B272, Active!F:F,0),1)</f>
        <v>Mean Air Temperature</v>
      </c>
      <c r="D272" s="23" t="str">
        <f>INDEX(Active!B:B, MATCH(Spearmans2!B272, Active!F:F,0),1)</f>
        <v>Natural</v>
      </c>
      <c r="E272" s="23" t="str">
        <f>INDEX(Active!D:D, MATCH(Spearmans2!B272, Active!F:F,0),1)</f>
        <v>Climate</v>
      </c>
      <c r="F272" s="23" t="str">
        <f>INDEX(Active!K:K, MATCH(Spearmans2!B272, Active!F:F,0),1)</f>
        <v>PRISM climate data - Mean temperature (°C) within the AOI. Period: 2008 and 2009</v>
      </c>
      <c r="G272" s="33" t="s">
        <v>691</v>
      </c>
      <c r="H272" s="23" t="s">
        <v>103</v>
      </c>
      <c r="I272" s="23" t="s">
        <v>133</v>
      </c>
      <c r="J272" s="23" t="s">
        <v>692</v>
      </c>
      <c r="K272" s="56" t="s">
        <v>34</v>
      </c>
      <c r="L272" s="24" t="str">
        <f>IF(RIGHT(K272,2)="WS", LEFT(K272,LEN(K272)-2),K272)</f>
        <v>BFI</v>
      </c>
      <c r="M272" s="24" t="str">
        <f>INDEX(Active!J:J, MATCH(Spearmans2!L272, Active!F:F,0),1)</f>
        <v>Base Flow Index</v>
      </c>
      <c r="N272" s="24" t="str">
        <f>INDEX(Active!B:B, MATCH(Spearmans2!L272, Active!F:F,0),1)</f>
        <v>Natural</v>
      </c>
      <c r="O272" s="24" t="str">
        <f>INDEX(Active!K:K, MATCH(Spearmans2!L272, Active!F:F,0),1)</f>
        <v>Base flow is the component of streamflow that can be attributed to ground-water discharge into streams. The BFI is the ratio of base flow to total flow, expressed as a percentage, within AOI</v>
      </c>
      <c r="P272" s="34" t="s">
        <v>137</v>
      </c>
      <c r="Q272" s="24" t="s">
        <v>103</v>
      </c>
      <c r="R272" s="24" t="s">
        <v>138</v>
      </c>
      <c r="S272" s="28">
        <v>-0.80394434757317279</v>
      </c>
    </row>
    <row r="273" spans="1:19" s="20" customFormat="1" x14ac:dyDescent="0.3">
      <c r="A273" s="33" t="s">
        <v>22</v>
      </c>
      <c r="B273" s="23" t="str">
        <f>IF(RIGHT(A273,2)="WS", LEFT(A273,LEN(A273)-2),A273)</f>
        <v>TMEAN2008</v>
      </c>
      <c r="C273" s="23" t="str">
        <f>INDEX(Active!J:J, MATCH(Spearmans2!B273, Active!F:F,0),1)</f>
        <v>Mean Air Temperature</v>
      </c>
      <c r="D273" s="23" t="str">
        <f>INDEX(Active!B:B, MATCH(Spearmans2!B273, Active!F:F,0),1)</f>
        <v>Natural</v>
      </c>
      <c r="E273" s="23" t="str">
        <f>INDEX(Active!D:D, MATCH(Spearmans2!B273, Active!F:F,0),1)</f>
        <v>Climate</v>
      </c>
      <c r="F273" s="23" t="str">
        <f>INDEX(Active!K:K, MATCH(Spearmans2!B273, Active!F:F,0),1)</f>
        <v>PRISM climate data - Mean temperature (°C) within the AOI. Period: 2008 and 2009</v>
      </c>
      <c r="G273" s="33" t="s">
        <v>691</v>
      </c>
      <c r="H273" s="23" t="s">
        <v>103</v>
      </c>
      <c r="I273" s="23" t="s">
        <v>133</v>
      </c>
      <c r="J273" s="23" t="s">
        <v>692</v>
      </c>
      <c r="K273" s="56" t="s">
        <v>36</v>
      </c>
      <c r="L273" s="24" t="str">
        <f>IF(RIGHT(K273,2)="WS", LEFT(K273,LEN(K273)-2),K273)</f>
        <v>MWST2008</v>
      </c>
      <c r="M273" s="24" t="str">
        <f>INDEX(Active!J:J, MATCH(Spearmans2!L273, Active!F:F,0),1)</f>
        <v>Mean Winter Stream Temp</v>
      </c>
      <c r="N273" s="24" t="str">
        <f>INDEX(Active!B:B, MATCH(Spearmans2!L273, Active!F:F,0),1)</f>
        <v>Natural</v>
      </c>
      <c r="O273" s="24" t="str">
        <f>INDEX(Active!K:K, MATCH(Spearmans2!L273, Active!F:F,0),1)</f>
        <v>Predicted mean winter stream temperature (Jan-Feb) for year 2008, 2009, 2013, 2014</v>
      </c>
      <c r="P273" s="34" t="s">
        <v>302</v>
      </c>
      <c r="Q273" s="24" t="s">
        <v>103</v>
      </c>
      <c r="R273" s="24" t="s">
        <v>303</v>
      </c>
      <c r="S273" s="28">
        <v>0.84046168377472807</v>
      </c>
    </row>
    <row r="274" spans="1:19" s="20" customFormat="1" x14ac:dyDescent="0.3">
      <c r="A274" s="33" t="s">
        <v>22</v>
      </c>
      <c r="B274" s="23" t="str">
        <f>IF(RIGHT(A274,2)="WS", LEFT(A274,LEN(A274)-2),A274)</f>
        <v>TMEAN2008</v>
      </c>
      <c r="C274" s="23" t="str">
        <f>INDEX(Active!J:J, MATCH(Spearmans2!B274, Active!F:F,0),1)</f>
        <v>Mean Air Temperature</v>
      </c>
      <c r="D274" s="23" t="str">
        <f>INDEX(Active!B:B, MATCH(Spearmans2!B274, Active!F:F,0),1)</f>
        <v>Natural</v>
      </c>
      <c r="E274" s="23" t="str">
        <f>INDEX(Active!D:D, MATCH(Spearmans2!B274, Active!F:F,0),1)</f>
        <v>Climate</v>
      </c>
      <c r="F274" s="23" t="str">
        <f>INDEX(Active!K:K, MATCH(Spearmans2!B274, Active!F:F,0),1)</f>
        <v>PRISM climate data - Mean temperature (°C) within the AOI. Period: 2008 and 2009</v>
      </c>
      <c r="G274" s="33" t="s">
        <v>691</v>
      </c>
      <c r="H274" s="23" t="s">
        <v>103</v>
      </c>
      <c r="I274" s="23" t="s">
        <v>133</v>
      </c>
      <c r="J274" s="23" t="s">
        <v>692</v>
      </c>
      <c r="K274" s="56" t="s">
        <v>26</v>
      </c>
      <c r="L274" s="24" t="str">
        <f>IF(RIGHT(K274,2)="WS", LEFT(K274,LEN(K274)-2),K274)</f>
        <v>MAST2008</v>
      </c>
      <c r="M274" s="24" t="str">
        <f>INDEX(Active!J:J, MATCH(Spearmans2!L274, Active!F:F,0),1)</f>
        <v>Mean Annual Stream Temp</v>
      </c>
      <c r="N274" s="24" t="str">
        <f>INDEX(Active!B:B, MATCH(Spearmans2!L274, Active!F:F,0),1)</f>
        <v>Natural</v>
      </c>
      <c r="O274" s="24" t="str">
        <f>INDEX(Active!K:K, MATCH(Spearmans2!L274, Active!F:F,0),1)</f>
        <v>Predicted mean annual stream temperature (Jan-Dec) for year 2008, 2009, 2013, 2014</v>
      </c>
      <c r="P274" s="34" t="s">
        <v>281</v>
      </c>
      <c r="Q274" s="24" t="s">
        <v>103</v>
      </c>
      <c r="R274" s="24" t="s">
        <v>282</v>
      </c>
      <c r="S274" s="28">
        <v>0.86591390552759051</v>
      </c>
    </row>
    <row r="275" spans="1:19" s="20" customFormat="1" x14ac:dyDescent="0.3">
      <c r="A275" s="33" t="s">
        <v>22</v>
      </c>
      <c r="B275" s="23" t="str">
        <f>IF(RIGHT(A275,2)="WS", LEFT(A275,LEN(A275)-2),A275)</f>
        <v>TMEAN2008</v>
      </c>
      <c r="C275" s="23" t="str">
        <f>INDEX(Active!J:J, MATCH(Spearmans2!B275, Active!F:F,0),1)</f>
        <v>Mean Air Temperature</v>
      </c>
      <c r="D275" s="23" t="str">
        <f>INDEX(Active!B:B, MATCH(Spearmans2!B275, Active!F:F,0),1)</f>
        <v>Natural</v>
      </c>
      <c r="E275" s="23" t="str">
        <f>INDEX(Active!D:D, MATCH(Spearmans2!B275, Active!F:F,0),1)</f>
        <v>Climate</v>
      </c>
      <c r="F275" s="23" t="str">
        <f>INDEX(Active!K:K, MATCH(Spearmans2!B275, Active!F:F,0),1)</f>
        <v>PRISM climate data - Mean temperature (°C) within the AOI. Period: 2008 and 2009</v>
      </c>
      <c r="G275" s="33" t="s">
        <v>691</v>
      </c>
      <c r="H275" s="23" t="s">
        <v>103</v>
      </c>
      <c r="I275" s="23" t="s">
        <v>133</v>
      </c>
      <c r="J275" s="23" t="s">
        <v>692</v>
      </c>
      <c r="K275" s="56" t="s">
        <v>21</v>
      </c>
      <c r="L275" s="24" t="str">
        <f>IF(RIGHT(K275,2)="WS", LEFT(K275,LEN(K275)-2),K275)</f>
        <v>TMIN8110</v>
      </c>
      <c r="M275" s="24" t="str">
        <f>INDEX(Active!J:J, MATCH(Spearmans2!L275, Active!F:F,0),1)</f>
        <v>30-year Average Annual Normal Minimum Air Temperature</v>
      </c>
      <c r="N275" s="24" t="str">
        <f>INDEX(Active!B:B, MATCH(Spearmans2!L275, Active!F:F,0),1)</f>
        <v>Natural</v>
      </c>
      <c r="O275" s="24" t="str">
        <f>INDEX(Active!K:K, MATCH(Spearmans2!L275, Active!F:F,0),1)</f>
        <v>PRISM climate data - 30-year normal minimum temperature (CÂ°): Annual period: 1981-2010 within the AOI</v>
      </c>
      <c r="P275" s="34" t="s">
        <v>702</v>
      </c>
      <c r="Q275" s="24" t="s">
        <v>103</v>
      </c>
      <c r="R275" s="24" t="s">
        <v>703</v>
      </c>
      <c r="S275" s="28">
        <v>0.93770896245600222</v>
      </c>
    </row>
    <row r="276" spans="1:19" s="20" customFormat="1" x14ac:dyDescent="0.3">
      <c r="A276" s="33" t="s">
        <v>22</v>
      </c>
      <c r="B276" s="23" t="str">
        <f>IF(RIGHT(A276,2)="WS", LEFT(A276,LEN(A276)-2),A276)</f>
        <v>TMEAN2008</v>
      </c>
      <c r="C276" s="23" t="str">
        <f>INDEX(Active!J:J, MATCH(Spearmans2!B276, Active!F:F,0),1)</f>
        <v>Mean Air Temperature</v>
      </c>
      <c r="D276" s="23" t="str">
        <f>INDEX(Active!B:B, MATCH(Spearmans2!B276, Active!F:F,0),1)</f>
        <v>Natural</v>
      </c>
      <c r="E276" s="23" t="str">
        <f>INDEX(Active!D:D, MATCH(Spearmans2!B276, Active!F:F,0),1)</f>
        <v>Climate</v>
      </c>
      <c r="F276" s="23" t="str">
        <f>INDEX(Active!K:K, MATCH(Spearmans2!B276, Active!F:F,0),1)</f>
        <v>PRISM climate data - Mean temperature (°C) within the AOI. Period: 2008 and 2009</v>
      </c>
      <c r="G276" s="33" t="s">
        <v>691</v>
      </c>
      <c r="H276" s="23" t="s">
        <v>103</v>
      </c>
      <c r="I276" s="23" t="s">
        <v>133</v>
      </c>
      <c r="J276" s="23" t="s">
        <v>692</v>
      </c>
      <c r="K276" s="56" t="s">
        <v>23</v>
      </c>
      <c r="L276" s="24" t="str">
        <f>IF(RIGHT(K276,2)="WS", LEFT(K276,LEN(K276)-2),K276)</f>
        <v>TMAX9120</v>
      </c>
      <c r="M276" s="24" t="str">
        <f>INDEX(Active!J:J, MATCH(Spearmans2!L276, Active!F:F,0),1)</f>
        <v>30-year Average Annual Normal Maximum Air Temperature</v>
      </c>
      <c r="N276" s="24" t="str">
        <f>INDEX(Active!B:B, MATCH(Spearmans2!L276, Active!F:F,0),1)</f>
        <v>Natural</v>
      </c>
      <c r="O276" s="24" t="str">
        <f>INDEX(Active!K:K, MATCH(Spearmans2!L276, Active!F:F,0),1)</f>
        <v>PRISM climate data - 30-year normal maximum temperature (CÂ°): Annual period: 1991-2020 within the AOI</v>
      </c>
      <c r="P276" s="34" t="s">
        <v>684</v>
      </c>
      <c r="Q276" s="24" t="s">
        <v>103</v>
      </c>
      <c r="R276" s="24" t="s">
        <v>688</v>
      </c>
      <c r="S276" s="28">
        <v>0.94023701666686677</v>
      </c>
    </row>
    <row r="277" spans="1:19" s="20" customFormat="1" x14ac:dyDescent="0.3">
      <c r="A277" s="33" t="s">
        <v>22</v>
      </c>
      <c r="B277" s="23" t="str">
        <f>IF(RIGHT(A277,2)="WS", LEFT(A277,LEN(A277)-2),A277)</f>
        <v>TMEAN2008</v>
      </c>
      <c r="C277" s="23" t="str">
        <f>INDEX(Active!J:J, MATCH(Spearmans2!B277, Active!F:F,0),1)</f>
        <v>Mean Air Temperature</v>
      </c>
      <c r="D277" s="23" t="str">
        <f>INDEX(Active!B:B, MATCH(Spearmans2!B277, Active!F:F,0),1)</f>
        <v>Natural</v>
      </c>
      <c r="E277" s="23" t="str">
        <f>INDEX(Active!D:D, MATCH(Spearmans2!B277, Active!F:F,0),1)</f>
        <v>Climate</v>
      </c>
      <c r="F277" s="23" t="str">
        <f>INDEX(Active!K:K, MATCH(Spearmans2!B277, Active!F:F,0),1)</f>
        <v>PRISM climate data - Mean temperature (°C) within the AOI. Period: 2008 and 2009</v>
      </c>
      <c r="G277" s="33" t="s">
        <v>691</v>
      </c>
      <c r="H277" s="23" t="s">
        <v>103</v>
      </c>
      <c r="I277" s="23" t="s">
        <v>133</v>
      </c>
      <c r="J277" s="23" t="s">
        <v>692</v>
      </c>
      <c r="K277" s="56" t="s">
        <v>25</v>
      </c>
      <c r="L277" s="24" t="str">
        <f>IF(RIGHT(K277,2)="WS", LEFT(K277,LEN(K277)-2),K277)</f>
        <v>TMIN9120</v>
      </c>
      <c r="M277" s="24" t="str">
        <f>INDEX(Active!J:J, MATCH(Spearmans2!L277, Active!F:F,0),1)</f>
        <v>30-year Average Annual Normal Minimum Air Temperature</v>
      </c>
      <c r="N277" s="24" t="str">
        <f>INDEX(Active!B:B, MATCH(Spearmans2!L277, Active!F:F,0),1)</f>
        <v>Natural</v>
      </c>
      <c r="O277" s="24" t="str">
        <f>INDEX(Active!K:K, MATCH(Spearmans2!L277, Active!F:F,0),1)</f>
        <v>PRISM climate data - 30-year normal minimum temperature (CÂ°): Annual period: 1991-2020 within the AOI</v>
      </c>
      <c r="P277" s="34" t="s">
        <v>702</v>
      </c>
      <c r="Q277" s="24" t="s">
        <v>103</v>
      </c>
      <c r="R277" s="24" t="s">
        <v>706</v>
      </c>
      <c r="S277" s="28">
        <v>0.94144339459900761</v>
      </c>
    </row>
    <row r="278" spans="1:19" s="20" customFormat="1" x14ac:dyDescent="0.3">
      <c r="A278" s="33" t="s">
        <v>22</v>
      </c>
      <c r="B278" s="23" t="str">
        <f>IF(RIGHT(A278,2)="WS", LEFT(A278,LEN(A278)-2),A278)</f>
        <v>TMEAN2008</v>
      </c>
      <c r="C278" s="23" t="str">
        <f>INDEX(Active!J:J, MATCH(Spearmans2!B278, Active!F:F,0),1)</f>
        <v>Mean Air Temperature</v>
      </c>
      <c r="D278" s="23" t="str">
        <f>INDEX(Active!B:B, MATCH(Spearmans2!B278, Active!F:F,0),1)</f>
        <v>Natural</v>
      </c>
      <c r="E278" s="23" t="str">
        <f>INDEX(Active!D:D, MATCH(Spearmans2!B278, Active!F:F,0),1)</f>
        <v>Climate</v>
      </c>
      <c r="F278" s="23" t="str">
        <f>INDEX(Active!K:K, MATCH(Spearmans2!B278, Active!F:F,0),1)</f>
        <v>PRISM climate data - Mean temperature (°C) within the AOI. Period: 2008 and 2009</v>
      </c>
      <c r="G278" s="33" t="s">
        <v>691</v>
      </c>
      <c r="H278" s="23" t="s">
        <v>103</v>
      </c>
      <c r="I278" s="23" t="s">
        <v>133</v>
      </c>
      <c r="J278" s="23" t="s">
        <v>692</v>
      </c>
      <c r="K278" s="56" t="s">
        <v>19</v>
      </c>
      <c r="L278" s="24" t="str">
        <f>IF(RIGHT(K278,2)="WS", LEFT(K278,LEN(K278)-2),K278)</f>
        <v>TMAX8110</v>
      </c>
      <c r="M278" s="24" t="str">
        <f>INDEX(Active!J:J, MATCH(Spearmans2!L278, Active!F:F,0),1)</f>
        <v>30-year Average Annual Normal Maximum Air Temperature</v>
      </c>
      <c r="N278" s="24" t="str">
        <f>INDEX(Active!B:B, MATCH(Spearmans2!L278, Active!F:F,0),1)</f>
        <v>Natural</v>
      </c>
      <c r="O278" s="24" t="str">
        <f>INDEX(Active!K:K, MATCH(Spearmans2!L278, Active!F:F,0),1)</f>
        <v>PRISM climate data - 30-year normal maximum temperature (CÂ°): Annual period: 1981-2010 within the AOI</v>
      </c>
      <c r="P278" s="34" t="s">
        <v>684</v>
      </c>
      <c r="Q278" s="24" t="s">
        <v>103</v>
      </c>
      <c r="R278" s="24" t="s">
        <v>685</v>
      </c>
      <c r="S278" s="28">
        <v>0.94884155071010434</v>
      </c>
    </row>
    <row r="279" spans="1:19" s="20" customFormat="1" x14ac:dyDescent="0.3">
      <c r="A279" s="33" t="s">
        <v>22</v>
      </c>
      <c r="B279" s="23" t="str">
        <f>IF(RIGHT(A279,2)="WS", LEFT(A279,LEN(A279)-2),A279)</f>
        <v>TMEAN2008</v>
      </c>
      <c r="C279" s="23" t="str">
        <f>INDEX(Active!J:J, MATCH(Spearmans2!B279, Active!F:F,0),1)</f>
        <v>Mean Air Temperature</v>
      </c>
      <c r="D279" s="23" t="str">
        <f>INDEX(Active!B:B, MATCH(Spearmans2!B279, Active!F:F,0),1)</f>
        <v>Natural</v>
      </c>
      <c r="E279" s="23" t="str">
        <f>INDEX(Active!D:D, MATCH(Spearmans2!B279, Active!F:F,0),1)</f>
        <v>Climate</v>
      </c>
      <c r="F279" s="23" t="str">
        <f>INDEX(Active!K:K, MATCH(Spearmans2!B279, Active!F:F,0),1)</f>
        <v>PRISM climate data - Mean temperature (°C) within the AOI. Period: 2008 and 2009</v>
      </c>
      <c r="G279" s="33" t="s">
        <v>691</v>
      </c>
      <c r="H279" s="23" t="s">
        <v>103</v>
      </c>
      <c r="I279" s="23" t="s">
        <v>133</v>
      </c>
      <c r="J279" s="23" t="s">
        <v>692</v>
      </c>
      <c r="K279" s="56" t="s">
        <v>20</v>
      </c>
      <c r="L279" s="24" t="str">
        <f>IF(RIGHT(K279,2)="WS", LEFT(K279,LEN(K279)-2),K279)</f>
        <v>TMEAN8110</v>
      </c>
      <c r="M279" s="24" t="str">
        <f>INDEX(Active!J:J, MATCH(Spearmans2!L279, Active!F:F,0),1)</f>
        <v>30-year Mean Annual Air Temperature</v>
      </c>
      <c r="N279" s="24" t="str">
        <f>INDEX(Active!B:B, MATCH(Spearmans2!L279, Active!F:F,0),1)</f>
        <v>Natural</v>
      </c>
      <c r="O279" s="24" t="str">
        <f>INDEX(Active!K:K, MATCH(Spearmans2!L279, Active!F:F,0),1)</f>
        <v>PRISM climate data - 30-year normal mean temperature (CÂ°): Annual period: 1981-2010 within the AOI</v>
      </c>
      <c r="P279" s="34" t="s">
        <v>695</v>
      </c>
      <c r="Q279" s="24" t="s">
        <v>103</v>
      </c>
      <c r="R279" s="24" t="s">
        <v>696</v>
      </c>
      <c r="S279" s="28">
        <v>0.99030143756438671</v>
      </c>
    </row>
    <row r="280" spans="1:19" s="21" customFormat="1" x14ac:dyDescent="0.3">
      <c r="A280" s="38" t="s">
        <v>22</v>
      </c>
      <c r="B280" s="29" t="str">
        <f>IF(RIGHT(A280,2)="WS", LEFT(A280,LEN(A280)-2),A280)</f>
        <v>TMEAN2008</v>
      </c>
      <c r="C280" s="29" t="str">
        <f>INDEX(Active!J:J, MATCH(Spearmans2!B280, Active!F:F,0),1)</f>
        <v>Mean Air Temperature</v>
      </c>
      <c r="D280" s="29" t="str">
        <f>INDEX(Active!B:B, MATCH(Spearmans2!B280, Active!F:F,0),1)</f>
        <v>Natural</v>
      </c>
      <c r="E280" s="29" t="str">
        <f>INDEX(Active!D:D, MATCH(Spearmans2!B280, Active!F:F,0),1)</f>
        <v>Climate</v>
      </c>
      <c r="F280" s="29" t="str">
        <f>INDEX(Active!K:K, MATCH(Spearmans2!B280, Active!F:F,0),1)</f>
        <v>PRISM climate data - Mean temperature (°C) within the AOI. Period: 2008 and 2009</v>
      </c>
      <c r="G280" s="38" t="s">
        <v>691</v>
      </c>
      <c r="H280" s="29" t="s">
        <v>103</v>
      </c>
      <c r="I280" s="29" t="s">
        <v>133</v>
      </c>
      <c r="J280" s="29" t="s">
        <v>692</v>
      </c>
      <c r="K280" s="57" t="s">
        <v>24</v>
      </c>
      <c r="L280" s="30" t="str">
        <f>IF(RIGHT(K280,2)="WS", LEFT(K280,LEN(K280)-2),K280)</f>
        <v>TMEAN9120</v>
      </c>
      <c r="M280" s="30" t="str">
        <f>INDEX(Active!J:J, MATCH(Spearmans2!L280, Active!F:F,0),1)</f>
        <v>30-year Mean Annual Air Temperature</v>
      </c>
      <c r="N280" s="30" t="str">
        <f>INDEX(Active!B:B, MATCH(Spearmans2!L280, Active!F:F,0),1)</f>
        <v>Natural</v>
      </c>
      <c r="O280" s="30" t="str">
        <f>INDEX(Active!K:K, MATCH(Spearmans2!L280, Active!F:F,0),1)</f>
        <v>PRISM climate data - 30-year normal mean temperature (CÂ°): Annual period: 1991-2020 within the AOI</v>
      </c>
      <c r="P280" s="53" t="s">
        <v>695</v>
      </c>
      <c r="Q280" s="30" t="s">
        <v>103</v>
      </c>
      <c r="R280" s="30" t="s">
        <v>699</v>
      </c>
      <c r="S280" s="31">
        <v>0.99101574389023028</v>
      </c>
    </row>
    <row r="281" spans="1:19" s="19" customFormat="1" x14ac:dyDescent="0.3">
      <c r="A281" s="37" t="s">
        <v>20</v>
      </c>
      <c r="B281" s="25" t="str">
        <f>IF(RIGHT(A281,2)="WS", LEFT(A281,LEN(A281)-2),A281)</f>
        <v>TMEAN8110</v>
      </c>
      <c r="C281" s="25" t="str">
        <f>INDEX(Active!J:J, MATCH(Spearmans2!B281, Active!F:F,0),1)</f>
        <v>30-year Mean Annual Air Temperature</v>
      </c>
      <c r="D281" s="25" t="str">
        <f>INDEX(Active!B:B, MATCH(Spearmans2!B281, Active!F:F,0),1)</f>
        <v>Natural</v>
      </c>
      <c r="E281" s="25" t="str">
        <f>INDEX(Active!D:D, MATCH(Spearmans2!B281, Active!F:F,0),1)</f>
        <v>Climate</v>
      </c>
      <c r="F281" s="25" t="str">
        <f>INDEX(Active!K:K, MATCH(Spearmans2!B281, Active!F:F,0),1)</f>
        <v>PRISM climate data - 30-year normal mean temperature (CÂ°): Annual period: 1981-2010 within the AOI</v>
      </c>
      <c r="G281" s="37" t="s">
        <v>695</v>
      </c>
      <c r="H281" s="25" t="s">
        <v>103</v>
      </c>
      <c r="I281" s="25" t="s">
        <v>133</v>
      </c>
      <c r="J281" s="25" t="s">
        <v>696</v>
      </c>
      <c r="K281" s="55" t="s">
        <v>35</v>
      </c>
      <c r="L281" s="26" t="str">
        <f>IF(RIGHT(K281,2)="WS", LEFT(K281,LEN(K281)-2),K281)</f>
        <v>ELEV</v>
      </c>
      <c r="M281" s="26" t="str">
        <f>INDEX(Active!J:J, MATCH(Spearmans2!L281, Active!F:F,0),1)</f>
        <v>Mean Elevation</v>
      </c>
      <c r="N281" s="26" t="str">
        <f>INDEX(Active!B:B, MATCH(Spearmans2!L281, Active!F:F,0),1)</f>
        <v>Natural</v>
      </c>
      <c r="O281" s="26" t="str">
        <f>INDEX(Active!K:K, MATCH(Spearmans2!L281, Active!F:F,0),1)</f>
        <v>Mean AOI elevation (m)</v>
      </c>
      <c r="P281" s="52" t="s">
        <v>217</v>
      </c>
      <c r="Q281" s="26" t="s">
        <v>103</v>
      </c>
      <c r="R281" s="26" t="s">
        <v>218</v>
      </c>
      <c r="S281" s="27">
        <v>-0.88737327239413422</v>
      </c>
    </row>
    <row r="282" spans="1:19" s="20" customFormat="1" x14ac:dyDescent="0.3">
      <c r="A282" s="33" t="s">
        <v>20</v>
      </c>
      <c r="B282" s="23" t="str">
        <f>IF(RIGHT(A282,2)="WS", LEFT(A282,LEN(A282)-2),A282)</f>
        <v>TMEAN8110</v>
      </c>
      <c r="C282" s="23" t="str">
        <f>INDEX(Active!J:J, MATCH(Spearmans2!B282, Active!F:F,0),1)</f>
        <v>30-year Mean Annual Air Temperature</v>
      </c>
      <c r="D282" s="23" t="str">
        <f>INDEX(Active!B:B, MATCH(Spearmans2!B282, Active!F:F,0),1)</f>
        <v>Natural</v>
      </c>
      <c r="E282" s="23" t="str">
        <f>INDEX(Active!D:D, MATCH(Spearmans2!B282, Active!F:F,0),1)</f>
        <v>Climate</v>
      </c>
      <c r="F282" s="23" t="str">
        <f>INDEX(Active!K:K, MATCH(Spearmans2!B282, Active!F:F,0),1)</f>
        <v>PRISM climate data - 30-year normal mean temperature (CÂ°): Annual period: 1981-2010 within the AOI</v>
      </c>
      <c r="G282" s="33" t="s">
        <v>695</v>
      </c>
      <c r="H282" s="23" t="s">
        <v>103</v>
      </c>
      <c r="I282" s="23" t="s">
        <v>133</v>
      </c>
      <c r="J282" s="23" t="s">
        <v>696</v>
      </c>
      <c r="K282" s="56" t="s">
        <v>34</v>
      </c>
      <c r="L282" s="24" t="str">
        <f>IF(RIGHT(K282,2)="WS", LEFT(K282,LEN(K282)-2),K282)</f>
        <v>BFI</v>
      </c>
      <c r="M282" s="24" t="str">
        <f>INDEX(Active!J:J, MATCH(Spearmans2!L282, Active!F:F,0),1)</f>
        <v>Base Flow Index</v>
      </c>
      <c r="N282" s="24" t="str">
        <f>INDEX(Active!B:B, MATCH(Spearmans2!L282, Active!F:F,0),1)</f>
        <v>Natural</v>
      </c>
      <c r="O282" s="24" t="str">
        <f>INDEX(Active!K:K, MATCH(Spearmans2!L282, Active!F:F,0),1)</f>
        <v>Base flow is the component of streamflow that can be attributed to ground-water discharge into streams. The BFI is the ratio of base flow to total flow, expressed as a percentage, within AOI</v>
      </c>
      <c r="P282" s="34" t="s">
        <v>137</v>
      </c>
      <c r="Q282" s="24" t="s">
        <v>103</v>
      </c>
      <c r="R282" s="24" t="s">
        <v>138</v>
      </c>
      <c r="S282" s="28">
        <v>-0.81877584180401763</v>
      </c>
    </row>
    <row r="283" spans="1:19" s="20" customFormat="1" x14ac:dyDescent="0.3">
      <c r="A283" s="33" t="s">
        <v>20</v>
      </c>
      <c r="B283" s="23" t="str">
        <f>IF(RIGHT(A283,2)="WS", LEFT(A283,LEN(A283)-2),A283)</f>
        <v>TMEAN8110</v>
      </c>
      <c r="C283" s="23" t="str">
        <f>INDEX(Active!J:J, MATCH(Spearmans2!B283, Active!F:F,0),1)</f>
        <v>30-year Mean Annual Air Temperature</v>
      </c>
      <c r="D283" s="23" t="str">
        <f>INDEX(Active!B:B, MATCH(Spearmans2!B283, Active!F:F,0),1)</f>
        <v>Natural</v>
      </c>
      <c r="E283" s="23" t="str">
        <f>INDEX(Active!D:D, MATCH(Spearmans2!B283, Active!F:F,0),1)</f>
        <v>Climate</v>
      </c>
      <c r="F283" s="23" t="str">
        <f>INDEX(Active!K:K, MATCH(Spearmans2!B283, Active!F:F,0),1)</f>
        <v>PRISM climate data - 30-year normal mean temperature (CÂ°): Annual period: 1981-2010 within the AOI</v>
      </c>
      <c r="G283" s="33" t="s">
        <v>695</v>
      </c>
      <c r="H283" s="23" t="s">
        <v>103</v>
      </c>
      <c r="I283" s="23" t="s">
        <v>133</v>
      </c>
      <c r="J283" s="23" t="s">
        <v>696</v>
      </c>
      <c r="K283" s="56" t="s">
        <v>36</v>
      </c>
      <c r="L283" s="24" t="str">
        <f>IF(RIGHT(K283,2)="WS", LEFT(K283,LEN(K283)-2),K283)</f>
        <v>MWST2008</v>
      </c>
      <c r="M283" s="24" t="str">
        <f>INDEX(Active!J:J, MATCH(Spearmans2!L283, Active!F:F,0),1)</f>
        <v>Mean Winter Stream Temp</v>
      </c>
      <c r="N283" s="24" t="str">
        <f>INDEX(Active!B:B, MATCH(Spearmans2!L283, Active!F:F,0),1)</f>
        <v>Natural</v>
      </c>
      <c r="O283" s="24" t="str">
        <f>INDEX(Active!K:K, MATCH(Spearmans2!L283, Active!F:F,0),1)</f>
        <v>Predicted mean winter stream temperature (Jan-Feb) for year 2008, 2009, 2013, 2014</v>
      </c>
      <c r="P283" s="34" t="s">
        <v>302</v>
      </c>
      <c r="Q283" s="24" t="s">
        <v>103</v>
      </c>
      <c r="R283" s="24" t="s">
        <v>303</v>
      </c>
      <c r="S283" s="28">
        <v>0.85651744110046601</v>
      </c>
    </row>
    <row r="284" spans="1:19" s="20" customFormat="1" x14ac:dyDescent="0.3">
      <c r="A284" s="33" t="s">
        <v>20</v>
      </c>
      <c r="B284" s="23" t="str">
        <f>IF(RIGHT(A284,2)="WS", LEFT(A284,LEN(A284)-2),A284)</f>
        <v>TMEAN8110</v>
      </c>
      <c r="C284" s="23" t="str">
        <f>INDEX(Active!J:J, MATCH(Spearmans2!B284, Active!F:F,0),1)</f>
        <v>30-year Mean Annual Air Temperature</v>
      </c>
      <c r="D284" s="23" t="str">
        <f>INDEX(Active!B:B, MATCH(Spearmans2!B284, Active!F:F,0),1)</f>
        <v>Natural</v>
      </c>
      <c r="E284" s="23" t="str">
        <f>INDEX(Active!D:D, MATCH(Spearmans2!B284, Active!F:F,0),1)</f>
        <v>Climate</v>
      </c>
      <c r="F284" s="23" t="str">
        <f>INDEX(Active!K:K, MATCH(Spearmans2!B284, Active!F:F,0),1)</f>
        <v>PRISM climate data - 30-year normal mean temperature (CÂ°): Annual period: 1981-2010 within the AOI</v>
      </c>
      <c r="G284" s="33" t="s">
        <v>695</v>
      </c>
      <c r="H284" s="23" t="s">
        <v>103</v>
      </c>
      <c r="I284" s="23" t="s">
        <v>133</v>
      </c>
      <c r="J284" s="23" t="s">
        <v>696</v>
      </c>
      <c r="K284" s="56" t="s">
        <v>26</v>
      </c>
      <c r="L284" s="24" t="str">
        <f>IF(RIGHT(K284,2)="WS", LEFT(K284,LEN(K284)-2),K284)</f>
        <v>MAST2008</v>
      </c>
      <c r="M284" s="24" t="str">
        <f>INDEX(Active!J:J, MATCH(Spearmans2!L284, Active!F:F,0),1)</f>
        <v>Mean Annual Stream Temp</v>
      </c>
      <c r="N284" s="24" t="str">
        <f>INDEX(Active!B:B, MATCH(Spearmans2!L284, Active!F:F,0),1)</f>
        <v>Natural</v>
      </c>
      <c r="O284" s="24" t="str">
        <f>INDEX(Active!K:K, MATCH(Spearmans2!L284, Active!F:F,0),1)</f>
        <v>Predicted mean annual stream temperature (Jan-Dec) for year 2008, 2009, 2013, 2014</v>
      </c>
      <c r="P284" s="34" t="s">
        <v>281</v>
      </c>
      <c r="Q284" s="24" t="s">
        <v>103</v>
      </c>
      <c r="R284" s="24" t="s">
        <v>282</v>
      </c>
      <c r="S284" s="28">
        <v>0.86664179868367297</v>
      </c>
    </row>
    <row r="285" spans="1:19" s="20" customFormat="1" x14ac:dyDescent="0.3">
      <c r="A285" s="33" t="s">
        <v>20</v>
      </c>
      <c r="B285" s="23" t="str">
        <f>IF(RIGHT(A285,2)="WS", LEFT(A285,LEN(A285)-2),A285)</f>
        <v>TMEAN8110</v>
      </c>
      <c r="C285" s="23" t="str">
        <f>INDEX(Active!J:J, MATCH(Spearmans2!B285, Active!F:F,0),1)</f>
        <v>30-year Mean Annual Air Temperature</v>
      </c>
      <c r="D285" s="23" t="str">
        <f>INDEX(Active!B:B, MATCH(Spearmans2!B285, Active!F:F,0),1)</f>
        <v>Natural</v>
      </c>
      <c r="E285" s="23" t="str">
        <f>INDEX(Active!D:D, MATCH(Spearmans2!B285, Active!F:F,0),1)</f>
        <v>Climate</v>
      </c>
      <c r="F285" s="23" t="str">
        <f>INDEX(Active!K:K, MATCH(Spearmans2!B285, Active!F:F,0),1)</f>
        <v>PRISM climate data - 30-year normal mean temperature (CÂ°): Annual period: 1981-2010 within the AOI</v>
      </c>
      <c r="G285" s="33" t="s">
        <v>695</v>
      </c>
      <c r="H285" s="23" t="s">
        <v>103</v>
      </c>
      <c r="I285" s="23" t="s">
        <v>133</v>
      </c>
      <c r="J285" s="23" t="s">
        <v>696</v>
      </c>
      <c r="K285" s="56" t="s">
        <v>23</v>
      </c>
      <c r="L285" s="24" t="str">
        <f>IF(RIGHT(K285,2)="WS", LEFT(K285,LEN(K285)-2),K285)</f>
        <v>TMAX9120</v>
      </c>
      <c r="M285" s="24" t="str">
        <f>INDEX(Active!J:J, MATCH(Spearmans2!L285, Active!F:F,0),1)</f>
        <v>30-year Average Annual Normal Maximum Air Temperature</v>
      </c>
      <c r="N285" s="24" t="str">
        <f>INDEX(Active!B:B, MATCH(Spearmans2!L285, Active!F:F,0),1)</f>
        <v>Natural</v>
      </c>
      <c r="O285" s="24" t="str">
        <f>INDEX(Active!K:K, MATCH(Spearmans2!L285, Active!F:F,0),1)</f>
        <v>PRISM climate data - 30-year normal maximum temperature (CÂ°): Annual period: 1991-2020 within the AOI</v>
      </c>
      <c r="P285" s="34" t="s">
        <v>684</v>
      </c>
      <c r="Q285" s="24" t="s">
        <v>103</v>
      </c>
      <c r="R285" s="24" t="s">
        <v>688</v>
      </c>
      <c r="S285" s="28">
        <v>0.93555898740501431</v>
      </c>
    </row>
    <row r="286" spans="1:19" s="20" customFormat="1" x14ac:dyDescent="0.3">
      <c r="A286" s="33" t="s">
        <v>20</v>
      </c>
      <c r="B286" s="23" t="str">
        <f>IF(RIGHT(A286,2)="WS", LEFT(A286,LEN(A286)-2),A286)</f>
        <v>TMEAN8110</v>
      </c>
      <c r="C286" s="23" t="str">
        <f>INDEX(Active!J:J, MATCH(Spearmans2!B286, Active!F:F,0),1)</f>
        <v>30-year Mean Annual Air Temperature</v>
      </c>
      <c r="D286" s="23" t="str">
        <f>INDEX(Active!B:B, MATCH(Spearmans2!B286, Active!F:F,0),1)</f>
        <v>Natural</v>
      </c>
      <c r="E286" s="23" t="str">
        <f>INDEX(Active!D:D, MATCH(Spearmans2!B286, Active!F:F,0),1)</f>
        <v>Climate</v>
      </c>
      <c r="F286" s="23" t="str">
        <f>INDEX(Active!K:K, MATCH(Spearmans2!B286, Active!F:F,0),1)</f>
        <v>PRISM climate data - 30-year normal mean temperature (CÂ°): Annual period: 1981-2010 within the AOI</v>
      </c>
      <c r="G286" s="33" t="s">
        <v>695</v>
      </c>
      <c r="H286" s="23" t="s">
        <v>103</v>
      </c>
      <c r="I286" s="23" t="s">
        <v>133</v>
      </c>
      <c r="J286" s="23" t="s">
        <v>696</v>
      </c>
      <c r="K286" s="56" t="s">
        <v>19</v>
      </c>
      <c r="L286" s="24" t="str">
        <f>IF(RIGHT(K286,2)="WS", LEFT(K286,LEN(K286)-2),K286)</f>
        <v>TMAX8110</v>
      </c>
      <c r="M286" s="24" t="str">
        <f>INDEX(Active!J:J, MATCH(Spearmans2!L286, Active!F:F,0),1)</f>
        <v>30-year Average Annual Normal Maximum Air Temperature</v>
      </c>
      <c r="N286" s="24" t="str">
        <f>INDEX(Active!B:B, MATCH(Spearmans2!L286, Active!F:F,0),1)</f>
        <v>Natural</v>
      </c>
      <c r="O286" s="24" t="str">
        <f>INDEX(Active!K:K, MATCH(Spearmans2!L286, Active!F:F,0),1)</f>
        <v>PRISM climate data - 30-year normal maximum temperature (CÂ°): Annual period: 1981-2010 within the AOI</v>
      </c>
      <c r="P286" s="34" t="s">
        <v>684</v>
      </c>
      <c r="Q286" s="24" t="s">
        <v>103</v>
      </c>
      <c r="R286" s="24" t="s">
        <v>685</v>
      </c>
      <c r="S286" s="28">
        <v>0.94738254428528612</v>
      </c>
    </row>
    <row r="287" spans="1:19" s="20" customFormat="1" x14ac:dyDescent="0.3">
      <c r="A287" s="33" t="s">
        <v>20</v>
      </c>
      <c r="B287" s="23" t="str">
        <f>IF(RIGHT(A287,2)="WS", LEFT(A287,LEN(A287)-2),A287)</f>
        <v>TMEAN8110</v>
      </c>
      <c r="C287" s="23" t="str">
        <f>INDEX(Active!J:J, MATCH(Spearmans2!B287, Active!F:F,0),1)</f>
        <v>30-year Mean Annual Air Temperature</v>
      </c>
      <c r="D287" s="23" t="str">
        <f>INDEX(Active!B:B, MATCH(Spearmans2!B287, Active!F:F,0),1)</f>
        <v>Natural</v>
      </c>
      <c r="E287" s="23" t="str">
        <f>INDEX(Active!D:D, MATCH(Spearmans2!B287, Active!F:F,0),1)</f>
        <v>Climate</v>
      </c>
      <c r="F287" s="23" t="str">
        <f>INDEX(Active!K:K, MATCH(Spearmans2!B287, Active!F:F,0),1)</f>
        <v>PRISM climate data - 30-year normal mean temperature (CÂ°): Annual period: 1981-2010 within the AOI</v>
      </c>
      <c r="G287" s="33" t="s">
        <v>695</v>
      </c>
      <c r="H287" s="23" t="s">
        <v>103</v>
      </c>
      <c r="I287" s="23" t="s">
        <v>133</v>
      </c>
      <c r="J287" s="23" t="s">
        <v>696</v>
      </c>
      <c r="K287" s="56" t="s">
        <v>21</v>
      </c>
      <c r="L287" s="24" t="str">
        <f>IF(RIGHT(K287,2)="WS", LEFT(K287,LEN(K287)-2),K287)</f>
        <v>TMIN8110</v>
      </c>
      <c r="M287" s="24" t="str">
        <f>INDEX(Active!J:J, MATCH(Spearmans2!L287, Active!F:F,0),1)</f>
        <v>30-year Average Annual Normal Minimum Air Temperature</v>
      </c>
      <c r="N287" s="24" t="str">
        <f>INDEX(Active!B:B, MATCH(Spearmans2!L287, Active!F:F,0),1)</f>
        <v>Natural</v>
      </c>
      <c r="O287" s="24" t="str">
        <f>INDEX(Active!K:K, MATCH(Spearmans2!L287, Active!F:F,0),1)</f>
        <v>PRISM climate data - 30-year normal minimum temperature (CÂ°): Annual period: 1981-2010 within the AOI</v>
      </c>
      <c r="P287" s="34" t="s">
        <v>702</v>
      </c>
      <c r="Q287" s="24" t="s">
        <v>103</v>
      </c>
      <c r="R287" s="24" t="s">
        <v>703</v>
      </c>
      <c r="S287" s="28">
        <v>0.95608346218565987</v>
      </c>
    </row>
    <row r="288" spans="1:19" s="20" customFormat="1" x14ac:dyDescent="0.3">
      <c r="A288" s="33" t="s">
        <v>20</v>
      </c>
      <c r="B288" s="23" t="str">
        <f>IF(RIGHT(A288,2)="WS", LEFT(A288,LEN(A288)-2),A288)</f>
        <v>TMEAN8110</v>
      </c>
      <c r="C288" s="23" t="str">
        <f>INDEX(Active!J:J, MATCH(Spearmans2!B288, Active!F:F,0),1)</f>
        <v>30-year Mean Annual Air Temperature</v>
      </c>
      <c r="D288" s="23" t="str">
        <f>INDEX(Active!B:B, MATCH(Spearmans2!B288, Active!F:F,0),1)</f>
        <v>Natural</v>
      </c>
      <c r="E288" s="23" t="str">
        <f>INDEX(Active!D:D, MATCH(Spearmans2!B288, Active!F:F,0),1)</f>
        <v>Climate</v>
      </c>
      <c r="F288" s="23" t="str">
        <f>INDEX(Active!K:K, MATCH(Spearmans2!B288, Active!F:F,0),1)</f>
        <v>PRISM climate data - 30-year normal mean temperature (CÂ°): Annual period: 1981-2010 within the AOI</v>
      </c>
      <c r="G288" s="33" t="s">
        <v>695</v>
      </c>
      <c r="H288" s="23" t="s">
        <v>103</v>
      </c>
      <c r="I288" s="23" t="s">
        <v>133</v>
      </c>
      <c r="J288" s="23" t="s">
        <v>696</v>
      </c>
      <c r="K288" s="56" t="s">
        <v>25</v>
      </c>
      <c r="L288" s="24" t="str">
        <f>IF(RIGHT(K288,2)="WS", LEFT(K288,LEN(K288)-2),K288)</f>
        <v>TMIN9120</v>
      </c>
      <c r="M288" s="24" t="str">
        <f>INDEX(Active!J:J, MATCH(Spearmans2!L288, Active!F:F,0),1)</f>
        <v>30-year Average Annual Normal Minimum Air Temperature</v>
      </c>
      <c r="N288" s="24" t="str">
        <f>INDEX(Active!B:B, MATCH(Spearmans2!L288, Active!F:F,0),1)</f>
        <v>Natural</v>
      </c>
      <c r="O288" s="24" t="str">
        <f>INDEX(Active!K:K, MATCH(Spearmans2!L288, Active!F:F,0),1)</f>
        <v>PRISM climate data - 30-year normal minimum temperature (CÂ°): Annual period: 1991-2020 within the AOI</v>
      </c>
      <c r="P288" s="34" t="s">
        <v>702</v>
      </c>
      <c r="Q288" s="24" t="s">
        <v>103</v>
      </c>
      <c r="R288" s="24" t="s">
        <v>706</v>
      </c>
      <c r="S288" s="28">
        <v>0.9569673249035372</v>
      </c>
    </row>
    <row r="289" spans="1:19" s="20" customFormat="1" x14ac:dyDescent="0.3">
      <c r="A289" s="33" t="s">
        <v>20</v>
      </c>
      <c r="B289" s="23" t="str">
        <f>IF(RIGHT(A289,2)="WS", LEFT(A289,LEN(A289)-2),A289)</f>
        <v>TMEAN8110</v>
      </c>
      <c r="C289" s="23" t="str">
        <f>INDEX(Active!J:J, MATCH(Spearmans2!B289, Active!F:F,0),1)</f>
        <v>30-year Mean Annual Air Temperature</v>
      </c>
      <c r="D289" s="23" t="str">
        <f>INDEX(Active!B:B, MATCH(Spearmans2!B289, Active!F:F,0),1)</f>
        <v>Natural</v>
      </c>
      <c r="E289" s="23" t="str">
        <f>INDEX(Active!D:D, MATCH(Spearmans2!B289, Active!F:F,0),1)</f>
        <v>Climate</v>
      </c>
      <c r="F289" s="23" t="str">
        <f>INDEX(Active!K:K, MATCH(Spearmans2!B289, Active!F:F,0),1)</f>
        <v>PRISM climate data - 30-year normal mean temperature (CÂ°): Annual period: 1981-2010 within the AOI</v>
      </c>
      <c r="G289" s="33" t="s">
        <v>695</v>
      </c>
      <c r="H289" s="23" t="s">
        <v>103</v>
      </c>
      <c r="I289" s="23" t="s">
        <v>133</v>
      </c>
      <c r="J289" s="23" t="s">
        <v>696</v>
      </c>
      <c r="K289" s="56" t="s">
        <v>22</v>
      </c>
      <c r="L289" s="24" t="str">
        <f>IF(RIGHT(K289,2)="WS", LEFT(K289,LEN(K289)-2),K289)</f>
        <v>TMEAN2008</v>
      </c>
      <c r="M289" s="24" t="str">
        <f>INDEX(Active!J:J, MATCH(Spearmans2!L289, Active!F:F,0),1)</f>
        <v>Mean Air Temperature</v>
      </c>
      <c r="N289" s="24" t="str">
        <f>INDEX(Active!B:B, MATCH(Spearmans2!L289, Active!F:F,0),1)</f>
        <v>Natural</v>
      </c>
      <c r="O289" s="24" t="str">
        <f>INDEX(Active!K:K, MATCH(Spearmans2!L289, Active!F:F,0),1)</f>
        <v>PRISM climate data - Mean temperature (°C) within the AOI. Period: 2008 and 2009</v>
      </c>
      <c r="P289" s="34" t="s">
        <v>691</v>
      </c>
      <c r="Q289" s="24" t="s">
        <v>103</v>
      </c>
      <c r="R289" s="24" t="s">
        <v>692</v>
      </c>
      <c r="S289" s="28">
        <v>0.99030143756438671</v>
      </c>
    </row>
    <row r="290" spans="1:19" s="20" customFormat="1" x14ac:dyDescent="0.3">
      <c r="A290" s="33" t="s">
        <v>20</v>
      </c>
      <c r="B290" s="23" t="str">
        <f>IF(RIGHT(A290,2)="WS", LEFT(A290,LEN(A290)-2),A290)</f>
        <v>TMEAN8110</v>
      </c>
      <c r="C290" s="23" t="str">
        <f>INDEX(Active!J:J, MATCH(Spearmans2!B290, Active!F:F,0),1)</f>
        <v>30-year Mean Annual Air Temperature</v>
      </c>
      <c r="D290" s="23" t="str">
        <f>INDEX(Active!B:B, MATCH(Spearmans2!B290, Active!F:F,0),1)</f>
        <v>Natural</v>
      </c>
      <c r="E290" s="23" t="str">
        <f>INDEX(Active!D:D, MATCH(Spearmans2!B290, Active!F:F,0),1)</f>
        <v>Climate</v>
      </c>
      <c r="F290" s="23" t="str">
        <f>INDEX(Active!K:K, MATCH(Spearmans2!B290, Active!F:F,0),1)</f>
        <v>PRISM climate data - 30-year normal mean temperature (CÂ°): Annual period: 1981-2010 within the AOI</v>
      </c>
      <c r="G290" s="33" t="s">
        <v>695</v>
      </c>
      <c r="H290" s="23" t="s">
        <v>103</v>
      </c>
      <c r="I290" s="23" t="s">
        <v>133</v>
      </c>
      <c r="J290" s="23" t="s">
        <v>696</v>
      </c>
      <c r="K290" s="56" t="s">
        <v>24</v>
      </c>
      <c r="L290" s="24" t="str">
        <f>IF(RIGHT(K290,2)="WS", LEFT(K290,LEN(K290)-2),K290)</f>
        <v>TMEAN9120</v>
      </c>
      <c r="M290" s="24" t="str">
        <f>INDEX(Active!J:J, MATCH(Spearmans2!L290, Active!F:F,0),1)</f>
        <v>30-year Mean Annual Air Temperature</v>
      </c>
      <c r="N290" s="24" t="str">
        <f>INDEX(Active!B:B, MATCH(Spearmans2!L290, Active!F:F,0),1)</f>
        <v>Natural</v>
      </c>
      <c r="O290" s="24" t="str">
        <f>INDEX(Active!K:K, MATCH(Spearmans2!L290, Active!F:F,0),1)</f>
        <v>PRISM climate data - 30-year normal mean temperature (CÂ°): Annual period: 1991-2020 within the AOI</v>
      </c>
      <c r="P290" s="34" t="s">
        <v>695</v>
      </c>
      <c r="Q290" s="24" t="s">
        <v>103</v>
      </c>
      <c r="R290" s="24" t="s">
        <v>699</v>
      </c>
      <c r="S290" s="28">
        <v>0.99724145441049883</v>
      </c>
    </row>
    <row r="291" spans="1:19" s="20" customFormat="1" x14ac:dyDescent="0.3">
      <c r="A291" s="33" t="s">
        <v>24</v>
      </c>
      <c r="B291" s="23" t="str">
        <f>IF(RIGHT(A291,2)="WS", LEFT(A291,LEN(A291)-2),A291)</f>
        <v>TMEAN9120</v>
      </c>
      <c r="C291" s="23" t="str">
        <f>INDEX(Active!J:J, MATCH(Spearmans2!B291, Active!F:F,0),1)</f>
        <v>30-year Mean Annual Air Temperature</v>
      </c>
      <c r="D291" s="23" t="str">
        <f>INDEX(Active!B:B, MATCH(Spearmans2!B291, Active!F:F,0),1)</f>
        <v>Natural</v>
      </c>
      <c r="E291" s="23" t="str">
        <f>INDEX(Active!D:D, MATCH(Spearmans2!B291, Active!F:F,0),1)</f>
        <v>Climate</v>
      </c>
      <c r="F291" s="23" t="str">
        <f>INDEX(Active!K:K, MATCH(Spearmans2!B291, Active!F:F,0),1)</f>
        <v>PRISM climate data - 30-year normal mean temperature (CÂ°): Annual period: 1991-2020 within the AOI</v>
      </c>
      <c r="G291" s="33" t="s">
        <v>695</v>
      </c>
      <c r="H291" s="23" t="s">
        <v>103</v>
      </c>
      <c r="I291" s="23" t="s">
        <v>133</v>
      </c>
      <c r="J291" s="23" t="s">
        <v>699</v>
      </c>
      <c r="K291" s="56" t="s">
        <v>35</v>
      </c>
      <c r="L291" s="24" t="str">
        <f>IF(RIGHT(K291,2)="WS", LEFT(K291,LEN(K291)-2),K291)</f>
        <v>ELEV</v>
      </c>
      <c r="M291" s="24" t="str">
        <f>INDEX(Active!J:J, MATCH(Spearmans2!L291, Active!F:F,0),1)</f>
        <v>Mean Elevation</v>
      </c>
      <c r="N291" s="24" t="str">
        <f>INDEX(Active!B:B, MATCH(Spearmans2!L291, Active!F:F,0),1)</f>
        <v>Natural</v>
      </c>
      <c r="O291" s="24" t="str">
        <f>INDEX(Active!K:K, MATCH(Spearmans2!L291, Active!F:F,0),1)</f>
        <v>Mean AOI elevation (m)</v>
      </c>
      <c r="P291" s="34" t="s">
        <v>217</v>
      </c>
      <c r="Q291" s="24" t="s">
        <v>103</v>
      </c>
      <c r="R291" s="24" t="s">
        <v>218</v>
      </c>
      <c r="S291" s="28">
        <v>-0.8790969616126435</v>
      </c>
    </row>
    <row r="292" spans="1:19" s="20" customFormat="1" x14ac:dyDescent="0.3">
      <c r="A292" s="33" t="s">
        <v>24</v>
      </c>
      <c r="B292" s="23" t="str">
        <f>IF(RIGHT(A292,2)="WS", LEFT(A292,LEN(A292)-2),A292)</f>
        <v>TMEAN9120</v>
      </c>
      <c r="C292" s="23" t="str">
        <f>INDEX(Active!J:J, MATCH(Spearmans2!B292, Active!F:F,0),1)</f>
        <v>30-year Mean Annual Air Temperature</v>
      </c>
      <c r="D292" s="23" t="str">
        <f>INDEX(Active!B:B, MATCH(Spearmans2!B292, Active!F:F,0),1)</f>
        <v>Natural</v>
      </c>
      <c r="E292" s="23" t="str">
        <f>INDEX(Active!D:D, MATCH(Spearmans2!B292, Active!F:F,0),1)</f>
        <v>Climate</v>
      </c>
      <c r="F292" s="23" t="str">
        <f>INDEX(Active!K:K, MATCH(Spearmans2!B292, Active!F:F,0),1)</f>
        <v>PRISM climate data - 30-year normal mean temperature (CÂ°): Annual period: 1991-2020 within the AOI</v>
      </c>
      <c r="G292" s="33" t="s">
        <v>695</v>
      </c>
      <c r="H292" s="23" t="s">
        <v>103</v>
      </c>
      <c r="I292" s="23" t="s">
        <v>133</v>
      </c>
      <c r="J292" s="23" t="s">
        <v>699</v>
      </c>
      <c r="K292" s="56" t="s">
        <v>34</v>
      </c>
      <c r="L292" s="24" t="str">
        <f>IF(RIGHT(K292,2)="WS", LEFT(K292,LEN(K292)-2),K292)</f>
        <v>BFI</v>
      </c>
      <c r="M292" s="24" t="str">
        <f>INDEX(Active!J:J, MATCH(Spearmans2!L292, Active!F:F,0),1)</f>
        <v>Base Flow Index</v>
      </c>
      <c r="N292" s="24" t="str">
        <f>INDEX(Active!B:B, MATCH(Spearmans2!L292, Active!F:F,0),1)</f>
        <v>Natural</v>
      </c>
      <c r="O292" s="24" t="str">
        <f>INDEX(Active!K:K, MATCH(Spearmans2!L292, Active!F:F,0),1)</f>
        <v>Base flow is the component of streamflow that can be attributed to ground-water discharge into streams. The BFI is the ratio of base flow to total flow, expressed as a percentage, within AOI</v>
      </c>
      <c r="P292" s="34" t="s">
        <v>137</v>
      </c>
      <c r="Q292" s="24" t="s">
        <v>103</v>
      </c>
      <c r="R292" s="24" t="s">
        <v>138</v>
      </c>
      <c r="S292" s="28">
        <v>-0.82148538875023114</v>
      </c>
    </row>
    <row r="293" spans="1:19" s="20" customFormat="1" x14ac:dyDescent="0.3">
      <c r="A293" s="33" t="s">
        <v>24</v>
      </c>
      <c r="B293" s="23" t="str">
        <f>IF(RIGHT(A293,2)="WS", LEFT(A293,LEN(A293)-2),A293)</f>
        <v>TMEAN9120</v>
      </c>
      <c r="C293" s="23" t="str">
        <f>INDEX(Active!J:J, MATCH(Spearmans2!B293, Active!F:F,0),1)</f>
        <v>30-year Mean Annual Air Temperature</v>
      </c>
      <c r="D293" s="23" t="str">
        <f>INDEX(Active!B:B, MATCH(Spearmans2!B293, Active!F:F,0),1)</f>
        <v>Natural</v>
      </c>
      <c r="E293" s="23" t="str">
        <f>INDEX(Active!D:D, MATCH(Spearmans2!B293, Active!F:F,0),1)</f>
        <v>Climate</v>
      </c>
      <c r="F293" s="23" t="str">
        <f>INDEX(Active!K:K, MATCH(Spearmans2!B293, Active!F:F,0),1)</f>
        <v>PRISM climate data - 30-year normal mean temperature (CÂ°): Annual period: 1991-2020 within the AOI</v>
      </c>
      <c r="G293" s="33" t="s">
        <v>695</v>
      </c>
      <c r="H293" s="23" t="s">
        <v>103</v>
      </c>
      <c r="I293" s="23" t="s">
        <v>133</v>
      </c>
      <c r="J293" s="23" t="s">
        <v>699</v>
      </c>
      <c r="K293" s="56" t="s">
        <v>36</v>
      </c>
      <c r="L293" s="24" t="str">
        <f>IF(RIGHT(K293,2)="WS", LEFT(K293,LEN(K293)-2),K293)</f>
        <v>MWST2008</v>
      </c>
      <c r="M293" s="24" t="str">
        <f>INDEX(Active!J:J, MATCH(Spearmans2!L293, Active!F:F,0),1)</f>
        <v>Mean Winter Stream Temp</v>
      </c>
      <c r="N293" s="24" t="str">
        <f>INDEX(Active!B:B, MATCH(Spearmans2!L293, Active!F:F,0),1)</f>
        <v>Natural</v>
      </c>
      <c r="O293" s="24" t="str">
        <f>INDEX(Active!K:K, MATCH(Spearmans2!L293, Active!F:F,0),1)</f>
        <v>Predicted mean winter stream temperature (Jan-Feb) for year 2008, 2009, 2013, 2014</v>
      </c>
      <c r="P293" s="34" t="s">
        <v>302</v>
      </c>
      <c r="Q293" s="24" t="s">
        <v>103</v>
      </c>
      <c r="R293" s="24" t="s">
        <v>303</v>
      </c>
      <c r="S293" s="28">
        <v>0.84896784928876523</v>
      </c>
    </row>
    <row r="294" spans="1:19" s="20" customFormat="1" x14ac:dyDescent="0.3">
      <c r="A294" s="33" t="s">
        <v>24</v>
      </c>
      <c r="B294" s="23" t="str">
        <f>IF(RIGHT(A294,2)="WS", LEFT(A294,LEN(A294)-2),A294)</f>
        <v>TMEAN9120</v>
      </c>
      <c r="C294" s="23" t="str">
        <f>INDEX(Active!J:J, MATCH(Spearmans2!B294, Active!F:F,0),1)</f>
        <v>30-year Mean Annual Air Temperature</v>
      </c>
      <c r="D294" s="23" t="str">
        <f>INDEX(Active!B:B, MATCH(Spearmans2!B294, Active!F:F,0),1)</f>
        <v>Natural</v>
      </c>
      <c r="E294" s="23" t="str">
        <f>INDEX(Active!D:D, MATCH(Spearmans2!B294, Active!F:F,0),1)</f>
        <v>Climate</v>
      </c>
      <c r="F294" s="23" t="str">
        <f>INDEX(Active!K:K, MATCH(Spearmans2!B294, Active!F:F,0),1)</f>
        <v>PRISM climate data - 30-year normal mean temperature (CÂ°): Annual period: 1991-2020 within the AOI</v>
      </c>
      <c r="G294" s="33" t="s">
        <v>695</v>
      </c>
      <c r="H294" s="23" t="s">
        <v>103</v>
      </c>
      <c r="I294" s="23" t="s">
        <v>133</v>
      </c>
      <c r="J294" s="23" t="s">
        <v>699</v>
      </c>
      <c r="K294" s="56" t="s">
        <v>26</v>
      </c>
      <c r="L294" s="24" t="str">
        <f>IF(RIGHT(K294,2)="WS", LEFT(K294,LEN(K294)-2),K294)</f>
        <v>MAST2008</v>
      </c>
      <c r="M294" s="24" t="str">
        <f>INDEX(Active!J:J, MATCH(Spearmans2!L294, Active!F:F,0),1)</f>
        <v>Mean Annual Stream Temp</v>
      </c>
      <c r="N294" s="24" t="str">
        <f>INDEX(Active!B:B, MATCH(Spearmans2!L294, Active!F:F,0),1)</f>
        <v>Natural</v>
      </c>
      <c r="O294" s="24" t="str">
        <f>INDEX(Active!K:K, MATCH(Spearmans2!L294, Active!F:F,0),1)</f>
        <v>Predicted mean annual stream temperature (Jan-Dec) for year 2008, 2009, 2013, 2014</v>
      </c>
      <c r="P294" s="34" t="s">
        <v>281</v>
      </c>
      <c r="Q294" s="24" t="s">
        <v>103</v>
      </c>
      <c r="R294" s="24" t="s">
        <v>282</v>
      </c>
      <c r="S294" s="28">
        <v>0.87118397171693873</v>
      </c>
    </row>
    <row r="295" spans="1:19" s="20" customFormat="1" x14ac:dyDescent="0.3">
      <c r="A295" s="33" t="s">
        <v>24</v>
      </c>
      <c r="B295" s="23" t="str">
        <f>IF(RIGHT(A295,2)="WS", LEFT(A295,LEN(A295)-2),A295)</f>
        <v>TMEAN9120</v>
      </c>
      <c r="C295" s="23" t="str">
        <f>INDEX(Active!J:J, MATCH(Spearmans2!B295, Active!F:F,0),1)</f>
        <v>30-year Mean Annual Air Temperature</v>
      </c>
      <c r="D295" s="23" t="str">
        <f>INDEX(Active!B:B, MATCH(Spearmans2!B295, Active!F:F,0),1)</f>
        <v>Natural</v>
      </c>
      <c r="E295" s="23" t="str">
        <f>INDEX(Active!D:D, MATCH(Spearmans2!B295, Active!F:F,0),1)</f>
        <v>Climate</v>
      </c>
      <c r="F295" s="23" t="str">
        <f>INDEX(Active!K:K, MATCH(Spearmans2!B295, Active!F:F,0),1)</f>
        <v>PRISM climate data - 30-year normal mean temperature (CÂ°): Annual period: 1991-2020 within the AOI</v>
      </c>
      <c r="G295" s="33" t="s">
        <v>695</v>
      </c>
      <c r="H295" s="23" t="s">
        <v>103</v>
      </c>
      <c r="I295" s="23" t="s">
        <v>133</v>
      </c>
      <c r="J295" s="23" t="s">
        <v>699</v>
      </c>
      <c r="K295" s="56" t="s">
        <v>23</v>
      </c>
      <c r="L295" s="24" t="str">
        <f>IF(RIGHT(K295,2)="WS", LEFT(K295,LEN(K295)-2),K295)</f>
        <v>TMAX9120</v>
      </c>
      <c r="M295" s="24" t="str">
        <f>INDEX(Active!J:J, MATCH(Spearmans2!L295, Active!F:F,0),1)</f>
        <v>30-year Average Annual Normal Maximum Air Temperature</v>
      </c>
      <c r="N295" s="24" t="str">
        <f>INDEX(Active!B:B, MATCH(Spearmans2!L295, Active!F:F,0),1)</f>
        <v>Natural</v>
      </c>
      <c r="O295" s="24" t="str">
        <f>INDEX(Active!K:K, MATCH(Spearmans2!L295, Active!F:F,0),1)</f>
        <v>PRISM climate data - 30-year normal maximum temperature (CÂ°): Annual period: 1991-2020 within the AOI</v>
      </c>
      <c r="P295" s="34" t="s">
        <v>684</v>
      </c>
      <c r="Q295" s="24" t="s">
        <v>103</v>
      </c>
      <c r="R295" s="24" t="s">
        <v>688</v>
      </c>
      <c r="S295" s="28">
        <v>0.94046974071352274</v>
      </c>
    </row>
    <row r="296" spans="1:19" s="20" customFormat="1" x14ac:dyDescent="0.3">
      <c r="A296" s="33" t="s">
        <v>24</v>
      </c>
      <c r="B296" s="23" t="str">
        <f>IF(RIGHT(A296,2)="WS", LEFT(A296,LEN(A296)-2),A296)</f>
        <v>TMEAN9120</v>
      </c>
      <c r="C296" s="23" t="str">
        <f>INDEX(Active!J:J, MATCH(Spearmans2!B296, Active!F:F,0),1)</f>
        <v>30-year Mean Annual Air Temperature</v>
      </c>
      <c r="D296" s="23" t="str">
        <f>INDEX(Active!B:B, MATCH(Spearmans2!B296, Active!F:F,0),1)</f>
        <v>Natural</v>
      </c>
      <c r="E296" s="23" t="str">
        <f>INDEX(Active!D:D, MATCH(Spearmans2!B296, Active!F:F,0),1)</f>
        <v>Climate</v>
      </c>
      <c r="F296" s="23" t="str">
        <f>INDEX(Active!K:K, MATCH(Spearmans2!B296, Active!F:F,0),1)</f>
        <v>PRISM climate data - 30-year normal mean temperature (CÂ°): Annual period: 1991-2020 within the AOI</v>
      </c>
      <c r="G296" s="33" t="s">
        <v>695</v>
      </c>
      <c r="H296" s="23" t="s">
        <v>103</v>
      </c>
      <c r="I296" s="23" t="s">
        <v>133</v>
      </c>
      <c r="J296" s="23" t="s">
        <v>699</v>
      </c>
      <c r="K296" s="56" t="s">
        <v>19</v>
      </c>
      <c r="L296" s="24" t="str">
        <f>IF(RIGHT(K296,2)="WS", LEFT(K296,LEN(K296)-2),K296)</f>
        <v>TMAX8110</v>
      </c>
      <c r="M296" s="24" t="str">
        <f>INDEX(Active!J:J, MATCH(Spearmans2!L296, Active!F:F,0),1)</f>
        <v>30-year Average Annual Normal Maximum Air Temperature</v>
      </c>
      <c r="N296" s="24" t="str">
        <f>INDEX(Active!B:B, MATCH(Spearmans2!L296, Active!F:F,0),1)</f>
        <v>Natural</v>
      </c>
      <c r="O296" s="24" t="str">
        <f>INDEX(Active!K:K, MATCH(Spearmans2!L296, Active!F:F,0),1)</f>
        <v>PRISM climate data - 30-year normal maximum temperature (CÂ°): Annual period: 1981-2010 within the AOI</v>
      </c>
      <c r="P296" s="34" t="s">
        <v>684</v>
      </c>
      <c r="Q296" s="24" t="s">
        <v>103</v>
      </c>
      <c r="R296" s="24" t="s">
        <v>685</v>
      </c>
      <c r="S296" s="28">
        <v>0.94790979094434058</v>
      </c>
    </row>
    <row r="297" spans="1:19" s="20" customFormat="1" x14ac:dyDescent="0.3">
      <c r="A297" s="33" t="s">
        <v>24</v>
      </c>
      <c r="B297" s="23" t="str">
        <f>IF(RIGHT(A297,2)="WS", LEFT(A297,LEN(A297)-2),A297)</f>
        <v>TMEAN9120</v>
      </c>
      <c r="C297" s="23" t="str">
        <f>INDEX(Active!J:J, MATCH(Spearmans2!B297, Active!F:F,0),1)</f>
        <v>30-year Mean Annual Air Temperature</v>
      </c>
      <c r="D297" s="23" t="str">
        <f>INDEX(Active!B:B, MATCH(Spearmans2!B297, Active!F:F,0),1)</f>
        <v>Natural</v>
      </c>
      <c r="E297" s="23" t="str">
        <f>INDEX(Active!D:D, MATCH(Spearmans2!B297, Active!F:F,0),1)</f>
        <v>Climate</v>
      </c>
      <c r="F297" s="23" t="str">
        <f>INDEX(Active!K:K, MATCH(Spearmans2!B297, Active!F:F,0),1)</f>
        <v>PRISM climate data - 30-year normal mean temperature (CÂ°): Annual period: 1991-2020 within the AOI</v>
      </c>
      <c r="G297" s="33" t="s">
        <v>695</v>
      </c>
      <c r="H297" s="23" t="s">
        <v>103</v>
      </c>
      <c r="I297" s="23" t="s">
        <v>133</v>
      </c>
      <c r="J297" s="23" t="s">
        <v>699</v>
      </c>
      <c r="K297" s="56" t="s">
        <v>21</v>
      </c>
      <c r="L297" s="24" t="str">
        <f>IF(RIGHT(K297,2)="WS", LEFT(K297,LEN(K297)-2),K297)</f>
        <v>TMIN8110</v>
      </c>
      <c r="M297" s="24" t="str">
        <f>INDEX(Active!J:J, MATCH(Spearmans2!L297, Active!F:F,0),1)</f>
        <v>30-year Average Annual Normal Minimum Air Temperature</v>
      </c>
      <c r="N297" s="24" t="str">
        <f>INDEX(Active!B:B, MATCH(Spearmans2!L297, Active!F:F,0),1)</f>
        <v>Natural</v>
      </c>
      <c r="O297" s="24" t="str">
        <f>INDEX(Active!K:K, MATCH(Spearmans2!L297, Active!F:F,0),1)</f>
        <v>PRISM climate data - 30-year normal minimum temperature (CÂ°): Annual period: 1981-2010 within the AOI</v>
      </c>
      <c r="P297" s="34" t="s">
        <v>702</v>
      </c>
      <c r="Q297" s="24" t="s">
        <v>103</v>
      </c>
      <c r="R297" s="24" t="s">
        <v>703</v>
      </c>
      <c r="S297" s="28">
        <v>0.95139525954028525</v>
      </c>
    </row>
    <row r="298" spans="1:19" s="20" customFormat="1" x14ac:dyDescent="0.3">
      <c r="A298" s="33" t="s">
        <v>24</v>
      </c>
      <c r="B298" s="23" t="str">
        <f>IF(RIGHT(A298,2)="WS", LEFT(A298,LEN(A298)-2),A298)</f>
        <v>TMEAN9120</v>
      </c>
      <c r="C298" s="23" t="str">
        <f>INDEX(Active!J:J, MATCH(Spearmans2!B298, Active!F:F,0),1)</f>
        <v>30-year Mean Annual Air Temperature</v>
      </c>
      <c r="D298" s="23" t="str">
        <f>INDEX(Active!B:B, MATCH(Spearmans2!B298, Active!F:F,0),1)</f>
        <v>Natural</v>
      </c>
      <c r="E298" s="23" t="str">
        <f>INDEX(Active!D:D, MATCH(Spearmans2!B298, Active!F:F,0),1)</f>
        <v>Climate</v>
      </c>
      <c r="F298" s="23" t="str">
        <f>INDEX(Active!K:K, MATCH(Spearmans2!B298, Active!F:F,0),1)</f>
        <v>PRISM climate data - 30-year normal mean temperature (CÂ°): Annual period: 1991-2020 within the AOI</v>
      </c>
      <c r="G298" s="33" t="s">
        <v>695</v>
      </c>
      <c r="H298" s="23" t="s">
        <v>103</v>
      </c>
      <c r="I298" s="23" t="s">
        <v>133</v>
      </c>
      <c r="J298" s="23" t="s">
        <v>699</v>
      </c>
      <c r="K298" s="56" t="s">
        <v>25</v>
      </c>
      <c r="L298" s="24" t="str">
        <f>IF(RIGHT(K298,2)="WS", LEFT(K298,LEN(K298)-2),K298)</f>
        <v>TMIN9120</v>
      </c>
      <c r="M298" s="24" t="str">
        <f>INDEX(Active!J:J, MATCH(Spearmans2!L298, Active!F:F,0),1)</f>
        <v>30-year Average Annual Normal Minimum Air Temperature</v>
      </c>
      <c r="N298" s="24" t="str">
        <f>INDEX(Active!B:B, MATCH(Spearmans2!L298, Active!F:F,0),1)</f>
        <v>Natural</v>
      </c>
      <c r="O298" s="24" t="str">
        <f>INDEX(Active!K:K, MATCH(Spearmans2!L298, Active!F:F,0),1)</f>
        <v>PRISM climate data - 30-year normal minimum temperature (CÂ°): Annual period: 1991-2020 within the AOI</v>
      </c>
      <c r="P298" s="34" t="s">
        <v>702</v>
      </c>
      <c r="Q298" s="24" t="s">
        <v>103</v>
      </c>
      <c r="R298" s="24" t="s">
        <v>706</v>
      </c>
      <c r="S298" s="28">
        <v>0.95752523915349874</v>
      </c>
    </row>
    <row r="299" spans="1:19" s="20" customFormat="1" x14ac:dyDescent="0.3">
      <c r="A299" s="33" t="s">
        <v>24</v>
      </c>
      <c r="B299" s="23" t="str">
        <f>IF(RIGHT(A299,2)="WS", LEFT(A299,LEN(A299)-2),A299)</f>
        <v>TMEAN9120</v>
      </c>
      <c r="C299" s="23" t="str">
        <f>INDEX(Active!J:J, MATCH(Spearmans2!B299, Active!F:F,0),1)</f>
        <v>30-year Mean Annual Air Temperature</v>
      </c>
      <c r="D299" s="23" t="str">
        <f>INDEX(Active!B:B, MATCH(Spearmans2!B299, Active!F:F,0),1)</f>
        <v>Natural</v>
      </c>
      <c r="E299" s="23" t="str">
        <f>INDEX(Active!D:D, MATCH(Spearmans2!B299, Active!F:F,0),1)</f>
        <v>Climate</v>
      </c>
      <c r="F299" s="23" t="str">
        <f>INDEX(Active!K:K, MATCH(Spearmans2!B299, Active!F:F,0),1)</f>
        <v>PRISM climate data - 30-year normal mean temperature (CÂ°): Annual period: 1991-2020 within the AOI</v>
      </c>
      <c r="G299" s="33" t="s">
        <v>695</v>
      </c>
      <c r="H299" s="23" t="s">
        <v>103</v>
      </c>
      <c r="I299" s="23" t="s">
        <v>133</v>
      </c>
      <c r="J299" s="23" t="s">
        <v>699</v>
      </c>
      <c r="K299" s="56" t="s">
        <v>22</v>
      </c>
      <c r="L299" s="24" t="str">
        <f>IF(RIGHT(K299,2)="WS", LEFT(K299,LEN(K299)-2),K299)</f>
        <v>TMEAN2008</v>
      </c>
      <c r="M299" s="24" t="str">
        <f>INDEX(Active!J:J, MATCH(Spearmans2!L299, Active!F:F,0),1)</f>
        <v>Mean Air Temperature</v>
      </c>
      <c r="N299" s="24" t="str">
        <f>INDEX(Active!B:B, MATCH(Spearmans2!L299, Active!F:F,0),1)</f>
        <v>Natural</v>
      </c>
      <c r="O299" s="24" t="str">
        <f>INDEX(Active!K:K, MATCH(Spearmans2!L299, Active!F:F,0),1)</f>
        <v>PRISM climate data - Mean temperature (°C) within the AOI. Period: 2008 and 2009</v>
      </c>
      <c r="P299" s="34" t="s">
        <v>691</v>
      </c>
      <c r="Q299" s="24" t="s">
        <v>103</v>
      </c>
      <c r="R299" s="24" t="s">
        <v>692</v>
      </c>
      <c r="S299" s="28">
        <v>0.99101574389023028</v>
      </c>
    </row>
    <row r="300" spans="1:19" s="21" customFormat="1" x14ac:dyDescent="0.3">
      <c r="A300" s="38" t="s">
        <v>24</v>
      </c>
      <c r="B300" s="29" t="str">
        <f>IF(RIGHT(A300,2)="WS", LEFT(A300,LEN(A300)-2),A300)</f>
        <v>TMEAN9120</v>
      </c>
      <c r="C300" s="29" t="str">
        <f>INDEX(Active!J:J, MATCH(Spearmans2!B300, Active!F:F,0),1)</f>
        <v>30-year Mean Annual Air Temperature</v>
      </c>
      <c r="D300" s="29" t="str">
        <f>INDEX(Active!B:B, MATCH(Spearmans2!B300, Active!F:F,0),1)</f>
        <v>Natural</v>
      </c>
      <c r="E300" s="29" t="str">
        <f>INDEX(Active!D:D, MATCH(Spearmans2!B300, Active!F:F,0),1)</f>
        <v>Climate</v>
      </c>
      <c r="F300" s="29" t="str">
        <f>INDEX(Active!K:K, MATCH(Spearmans2!B300, Active!F:F,0),1)</f>
        <v>PRISM climate data - 30-year normal mean temperature (CÂ°): Annual period: 1991-2020 within the AOI</v>
      </c>
      <c r="G300" s="38" t="s">
        <v>695</v>
      </c>
      <c r="H300" s="29" t="s">
        <v>103</v>
      </c>
      <c r="I300" s="29" t="s">
        <v>133</v>
      </c>
      <c r="J300" s="29" t="s">
        <v>699</v>
      </c>
      <c r="K300" s="57" t="s">
        <v>20</v>
      </c>
      <c r="L300" s="30" t="str">
        <f>IF(RIGHT(K300,2)="WS", LEFT(K300,LEN(K300)-2),K300)</f>
        <v>TMEAN8110</v>
      </c>
      <c r="M300" s="30" t="str">
        <f>INDEX(Active!J:J, MATCH(Spearmans2!L300, Active!F:F,0),1)</f>
        <v>30-year Mean Annual Air Temperature</v>
      </c>
      <c r="N300" s="30" t="str">
        <f>INDEX(Active!B:B, MATCH(Spearmans2!L300, Active!F:F,0),1)</f>
        <v>Natural</v>
      </c>
      <c r="O300" s="30" t="str">
        <f>INDEX(Active!K:K, MATCH(Spearmans2!L300, Active!F:F,0),1)</f>
        <v>PRISM climate data - 30-year normal mean temperature (CÂ°): Annual period: 1981-2010 within the AOI</v>
      </c>
      <c r="P300" s="53" t="s">
        <v>695</v>
      </c>
      <c r="Q300" s="30" t="s">
        <v>103</v>
      </c>
      <c r="R300" s="30" t="s">
        <v>696</v>
      </c>
      <c r="S300" s="31">
        <v>0.99724145441049883</v>
      </c>
    </row>
    <row r="301" spans="1:19" s="19" customFormat="1" x14ac:dyDescent="0.3">
      <c r="A301" s="37" t="s">
        <v>21</v>
      </c>
      <c r="B301" s="25" t="str">
        <f>IF(RIGHT(A301,2)="WS", LEFT(A301,LEN(A301)-2),A301)</f>
        <v>TMIN8110</v>
      </c>
      <c r="C301" s="25" t="str">
        <f>INDEX(Active!J:J, MATCH(Spearmans2!B301, Active!F:F,0),1)</f>
        <v>30-year Average Annual Normal Minimum Air Temperature</v>
      </c>
      <c r="D301" s="25" t="str">
        <f>INDEX(Active!B:B, MATCH(Spearmans2!B301, Active!F:F,0),1)</f>
        <v>Natural</v>
      </c>
      <c r="E301" s="25" t="str">
        <f>INDEX(Active!D:D, MATCH(Spearmans2!B301, Active!F:F,0),1)</f>
        <v>Climate</v>
      </c>
      <c r="F301" s="25" t="str">
        <f>INDEX(Active!K:K, MATCH(Spearmans2!B301, Active!F:F,0),1)</f>
        <v>PRISM climate data - 30-year normal minimum temperature (CÂ°): Annual period: 1981-2010 within the AOI</v>
      </c>
      <c r="G301" s="37" t="s">
        <v>702</v>
      </c>
      <c r="H301" s="25" t="s">
        <v>103</v>
      </c>
      <c r="I301" s="25" t="s">
        <v>133</v>
      </c>
      <c r="J301" s="25" t="s">
        <v>703</v>
      </c>
      <c r="K301" s="55" t="s">
        <v>35</v>
      </c>
      <c r="L301" s="26" t="str">
        <f>IF(RIGHT(K301,2)="WS", LEFT(K301,LEN(K301)-2),K301)</f>
        <v>ELEV</v>
      </c>
      <c r="M301" s="26" t="str">
        <f>INDEX(Active!J:J, MATCH(Spearmans2!L301, Active!F:F,0),1)</f>
        <v>Mean Elevation</v>
      </c>
      <c r="N301" s="26" t="str">
        <f>INDEX(Active!B:B, MATCH(Spearmans2!L301, Active!F:F,0),1)</f>
        <v>Natural</v>
      </c>
      <c r="O301" s="26" t="str">
        <f>INDEX(Active!K:K, MATCH(Spearmans2!L301, Active!F:F,0),1)</f>
        <v>Mean AOI elevation (m)</v>
      </c>
      <c r="P301" s="52" t="s">
        <v>217</v>
      </c>
      <c r="Q301" s="26" t="s">
        <v>103</v>
      </c>
      <c r="R301" s="26" t="s">
        <v>218</v>
      </c>
      <c r="S301" s="27">
        <v>-0.92110528440925821</v>
      </c>
    </row>
    <row r="302" spans="1:19" s="20" customFormat="1" x14ac:dyDescent="0.3">
      <c r="A302" s="33" t="s">
        <v>21</v>
      </c>
      <c r="B302" s="23" t="str">
        <f>IF(RIGHT(A302,2)="WS", LEFT(A302,LEN(A302)-2),A302)</f>
        <v>TMIN8110</v>
      </c>
      <c r="C302" s="23" t="str">
        <f>INDEX(Active!J:J, MATCH(Spearmans2!B302, Active!F:F,0),1)</f>
        <v>30-year Average Annual Normal Minimum Air Temperature</v>
      </c>
      <c r="D302" s="23" t="str">
        <f>INDEX(Active!B:B, MATCH(Spearmans2!B302, Active!F:F,0),1)</f>
        <v>Natural</v>
      </c>
      <c r="E302" s="23" t="str">
        <f>INDEX(Active!D:D, MATCH(Spearmans2!B302, Active!F:F,0),1)</f>
        <v>Climate</v>
      </c>
      <c r="F302" s="23" t="str">
        <f>INDEX(Active!K:K, MATCH(Spearmans2!B302, Active!F:F,0),1)</f>
        <v>PRISM climate data - 30-year normal minimum temperature (CÂ°): Annual period: 1981-2010 within the AOI</v>
      </c>
      <c r="G302" s="33" t="s">
        <v>702</v>
      </c>
      <c r="H302" s="23" t="s">
        <v>103</v>
      </c>
      <c r="I302" s="23" t="s">
        <v>133</v>
      </c>
      <c r="J302" s="23" t="s">
        <v>703</v>
      </c>
      <c r="K302" s="56" t="s">
        <v>34</v>
      </c>
      <c r="L302" s="24" t="str">
        <f>IF(RIGHT(K302,2)="WS", LEFT(K302,LEN(K302)-2),K302)</f>
        <v>BFI</v>
      </c>
      <c r="M302" s="24" t="str">
        <f>INDEX(Active!J:J, MATCH(Spearmans2!L302, Active!F:F,0),1)</f>
        <v>Base Flow Index</v>
      </c>
      <c r="N302" s="24" t="str">
        <f>INDEX(Active!B:B, MATCH(Spearmans2!L302, Active!F:F,0),1)</f>
        <v>Natural</v>
      </c>
      <c r="O302" s="24" t="str">
        <f>INDEX(Active!K:K, MATCH(Spearmans2!L302, Active!F:F,0),1)</f>
        <v>Base flow is the component of streamflow that can be attributed to ground-water discharge into streams. The BFI is the ratio of base flow to total flow, expressed as a percentage, within AOI</v>
      </c>
      <c r="P302" s="34" t="s">
        <v>137</v>
      </c>
      <c r="Q302" s="24" t="s">
        <v>103</v>
      </c>
      <c r="R302" s="24" t="s">
        <v>138</v>
      </c>
      <c r="S302" s="28">
        <v>-0.82646241197018389</v>
      </c>
    </row>
    <row r="303" spans="1:19" s="20" customFormat="1" x14ac:dyDescent="0.3">
      <c r="A303" s="33" t="s">
        <v>21</v>
      </c>
      <c r="B303" s="23" t="str">
        <f>IF(RIGHT(A303,2)="WS", LEFT(A303,LEN(A303)-2),A303)</f>
        <v>TMIN8110</v>
      </c>
      <c r="C303" s="23" t="str">
        <f>INDEX(Active!J:J, MATCH(Spearmans2!B303, Active!F:F,0),1)</f>
        <v>30-year Average Annual Normal Minimum Air Temperature</v>
      </c>
      <c r="D303" s="23" t="str">
        <f>INDEX(Active!B:B, MATCH(Spearmans2!B303, Active!F:F,0),1)</f>
        <v>Natural</v>
      </c>
      <c r="E303" s="23" t="str">
        <f>INDEX(Active!D:D, MATCH(Spearmans2!B303, Active!F:F,0),1)</f>
        <v>Climate</v>
      </c>
      <c r="F303" s="23" t="str">
        <f>INDEX(Active!K:K, MATCH(Spearmans2!B303, Active!F:F,0),1)</f>
        <v>PRISM climate data - 30-year normal minimum temperature (CÂ°): Annual period: 1981-2010 within the AOI</v>
      </c>
      <c r="G303" s="33" t="s">
        <v>702</v>
      </c>
      <c r="H303" s="23" t="s">
        <v>103</v>
      </c>
      <c r="I303" s="23" t="s">
        <v>133</v>
      </c>
      <c r="J303" s="23" t="s">
        <v>703</v>
      </c>
      <c r="K303" s="56" t="s">
        <v>23</v>
      </c>
      <c r="L303" s="24" t="str">
        <f>IF(RIGHT(K303,2)="WS", LEFT(K303,LEN(K303)-2),K303)</f>
        <v>TMAX9120</v>
      </c>
      <c r="M303" s="24" t="str">
        <f>INDEX(Active!J:J, MATCH(Spearmans2!L303, Active!F:F,0),1)</f>
        <v>30-year Average Annual Normal Maximum Air Temperature</v>
      </c>
      <c r="N303" s="24" t="str">
        <f>INDEX(Active!B:B, MATCH(Spearmans2!L303, Active!F:F,0),1)</f>
        <v>Natural</v>
      </c>
      <c r="O303" s="24" t="str">
        <f>INDEX(Active!K:K, MATCH(Spearmans2!L303, Active!F:F,0),1)</f>
        <v>PRISM climate data - 30-year normal maximum temperature (CÂ°): Annual period: 1991-2020 within the AOI</v>
      </c>
      <c r="P303" s="34" t="s">
        <v>684</v>
      </c>
      <c r="Q303" s="24" t="s">
        <v>103</v>
      </c>
      <c r="R303" s="24" t="s">
        <v>688</v>
      </c>
      <c r="S303" s="28">
        <v>0.80781328492235061</v>
      </c>
    </row>
    <row r="304" spans="1:19" s="20" customFormat="1" x14ac:dyDescent="0.3">
      <c r="A304" s="33" t="s">
        <v>21</v>
      </c>
      <c r="B304" s="23" t="str">
        <f>IF(RIGHT(A304,2)="WS", LEFT(A304,LEN(A304)-2),A304)</f>
        <v>TMIN8110</v>
      </c>
      <c r="C304" s="23" t="str">
        <f>INDEX(Active!J:J, MATCH(Spearmans2!B304, Active!F:F,0),1)</f>
        <v>30-year Average Annual Normal Minimum Air Temperature</v>
      </c>
      <c r="D304" s="23" t="str">
        <f>INDEX(Active!B:B, MATCH(Spearmans2!B304, Active!F:F,0),1)</f>
        <v>Natural</v>
      </c>
      <c r="E304" s="23" t="str">
        <f>INDEX(Active!D:D, MATCH(Spearmans2!B304, Active!F:F,0),1)</f>
        <v>Climate</v>
      </c>
      <c r="F304" s="23" t="str">
        <f>INDEX(Active!K:K, MATCH(Spearmans2!B304, Active!F:F,0),1)</f>
        <v>PRISM climate data - 30-year normal minimum temperature (CÂ°): Annual period: 1981-2010 within the AOI</v>
      </c>
      <c r="G304" s="33" t="s">
        <v>702</v>
      </c>
      <c r="H304" s="23" t="s">
        <v>103</v>
      </c>
      <c r="I304" s="23" t="s">
        <v>133</v>
      </c>
      <c r="J304" s="23" t="s">
        <v>703</v>
      </c>
      <c r="K304" s="56" t="s">
        <v>50</v>
      </c>
      <c r="L304" s="24" t="str">
        <f>IF(RIGHT(K304,2)="WS", LEFT(K304,LEN(K304)-2),K304)</f>
        <v>PCTMXFST2001</v>
      </c>
      <c r="M304" s="24" t="str">
        <f>INDEX(Active!J:J, MATCH(Spearmans2!L304, Active!F:F,0),1)</f>
        <v>Mixed Deciduous/Evergreen Forest Percentage</v>
      </c>
      <c r="N304" s="24" t="str">
        <f>INDEX(Active!B:B, MATCH(Spearmans2!L304, Active!F:F,0),1)</f>
        <v>Natural</v>
      </c>
      <c r="O304" s="24" t="str">
        <f>INDEX(Active!K:K, MATCH(Spearmans2!L304, Active!F:F,0),1)</f>
        <v>% of AOI area classified as mixed deciduous/evergreen forest land cover (NLCD class 43)</v>
      </c>
      <c r="P304" s="34" t="s">
        <v>503</v>
      </c>
      <c r="Q304" s="24" t="s">
        <v>103</v>
      </c>
      <c r="R304" s="24" t="s">
        <v>504</v>
      </c>
      <c r="S304" s="28">
        <v>0.81372865053085386</v>
      </c>
    </row>
    <row r="305" spans="1:19" s="20" customFormat="1" x14ac:dyDescent="0.3">
      <c r="A305" s="33" t="s">
        <v>21</v>
      </c>
      <c r="B305" s="23" t="str">
        <f>IF(RIGHT(A305,2)="WS", LEFT(A305,LEN(A305)-2),A305)</f>
        <v>TMIN8110</v>
      </c>
      <c r="C305" s="23" t="str">
        <f>INDEX(Active!J:J, MATCH(Spearmans2!B305, Active!F:F,0),1)</f>
        <v>30-year Average Annual Normal Minimum Air Temperature</v>
      </c>
      <c r="D305" s="23" t="str">
        <f>INDEX(Active!B:B, MATCH(Spearmans2!B305, Active!F:F,0),1)</f>
        <v>Natural</v>
      </c>
      <c r="E305" s="23" t="str">
        <f>INDEX(Active!D:D, MATCH(Spearmans2!B305, Active!F:F,0),1)</f>
        <v>Climate</v>
      </c>
      <c r="F305" s="23" t="str">
        <f>INDEX(Active!K:K, MATCH(Spearmans2!B305, Active!F:F,0),1)</f>
        <v>PRISM climate data - 30-year normal minimum temperature (CÂ°): Annual period: 1981-2010 within the AOI</v>
      </c>
      <c r="G305" s="33" t="s">
        <v>702</v>
      </c>
      <c r="H305" s="23" t="s">
        <v>103</v>
      </c>
      <c r="I305" s="23" t="s">
        <v>133</v>
      </c>
      <c r="J305" s="23" t="s">
        <v>703</v>
      </c>
      <c r="K305" s="56" t="s">
        <v>19</v>
      </c>
      <c r="L305" s="24" t="str">
        <f>IF(RIGHT(K305,2)="WS", LEFT(K305,LEN(K305)-2),K305)</f>
        <v>TMAX8110</v>
      </c>
      <c r="M305" s="24" t="str">
        <f>INDEX(Active!J:J, MATCH(Spearmans2!L305, Active!F:F,0),1)</f>
        <v>30-year Average Annual Normal Maximum Air Temperature</v>
      </c>
      <c r="N305" s="24" t="str">
        <f>INDEX(Active!B:B, MATCH(Spearmans2!L305, Active!F:F,0),1)</f>
        <v>Natural</v>
      </c>
      <c r="O305" s="24" t="str">
        <f>INDEX(Active!K:K, MATCH(Spearmans2!L305, Active!F:F,0),1)</f>
        <v>PRISM climate data - 30-year normal maximum temperature (CÂ°): Annual period: 1981-2010 within the AOI</v>
      </c>
      <c r="P305" s="34" t="s">
        <v>684</v>
      </c>
      <c r="Q305" s="24" t="s">
        <v>103</v>
      </c>
      <c r="R305" s="24" t="s">
        <v>685</v>
      </c>
      <c r="S305" s="28">
        <v>0.82426069727064755</v>
      </c>
    </row>
    <row r="306" spans="1:19" s="20" customFormat="1" x14ac:dyDescent="0.3">
      <c r="A306" s="33" t="s">
        <v>21</v>
      </c>
      <c r="B306" s="23" t="str">
        <f>IF(RIGHT(A306,2)="WS", LEFT(A306,LEN(A306)-2),A306)</f>
        <v>TMIN8110</v>
      </c>
      <c r="C306" s="23" t="str">
        <f>INDEX(Active!J:J, MATCH(Spearmans2!B306, Active!F:F,0),1)</f>
        <v>30-year Average Annual Normal Minimum Air Temperature</v>
      </c>
      <c r="D306" s="23" t="str">
        <f>INDEX(Active!B:B, MATCH(Spearmans2!B306, Active!F:F,0),1)</f>
        <v>Natural</v>
      </c>
      <c r="E306" s="23" t="str">
        <f>INDEX(Active!D:D, MATCH(Spearmans2!B306, Active!F:F,0),1)</f>
        <v>Climate</v>
      </c>
      <c r="F306" s="23" t="str">
        <f>INDEX(Active!K:K, MATCH(Spearmans2!B306, Active!F:F,0),1)</f>
        <v>PRISM climate data - 30-year normal minimum temperature (CÂ°): Annual period: 1981-2010 within the AOI</v>
      </c>
      <c r="G306" s="33" t="s">
        <v>702</v>
      </c>
      <c r="H306" s="23" t="s">
        <v>103</v>
      </c>
      <c r="I306" s="23" t="s">
        <v>133</v>
      </c>
      <c r="J306" s="23" t="s">
        <v>703</v>
      </c>
      <c r="K306" s="56" t="s">
        <v>36</v>
      </c>
      <c r="L306" s="24" t="str">
        <f>IF(RIGHT(K306,2)="WS", LEFT(K306,LEN(K306)-2),K306)</f>
        <v>MWST2008</v>
      </c>
      <c r="M306" s="24" t="str">
        <f>INDEX(Active!J:J, MATCH(Spearmans2!L306, Active!F:F,0),1)</f>
        <v>Mean Winter Stream Temp</v>
      </c>
      <c r="N306" s="24" t="str">
        <f>INDEX(Active!B:B, MATCH(Spearmans2!L306, Active!F:F,0),1)</f>
        <v>Natural</v>
      </c>
      <c r="O306" s="24" t="str">
        <f>INDEX(Active!K:K, MATCH(Spearmans2!L306, Active!F:F,0),1)</f>
        <v>Predicted mean winter stream temperature (Jan-Feb) for year 2008, 2009, 2013, 2014</v>
      </c>
      <c r="P306" s="34" t="s">
        <v>302</v>
      </c>
      <c r="Q306" s="24" t="s">
        <v>103</v>
      </c>
      <c r="R306" s="24" t="s">
        <v>303</v>
      </c>
      <c r="S306" s="28">
        <v>0.89796057812812957</v>
      </c>
    </row>
    <row r="307" spans="1:19" s="20" customFormat="1" x14ac:dyDescent="0.3">
      <c r="A307" s="33" t="s">
        <v>21</v>
      </c>
      <c r="B307" s="23" t="str">
        <f>IF(RIGHT(A307,2)="WS", LEFT(A307,LEN(A307)-2),A307)</f>
        <v>TMIN8110</v>
      </c>
      <c r="C307" s="23" t="str">
        <f>INDEX(Active!J:J, MATCH(Spearmans2!B307, Active!F:F,0),1)</f>
        <v>30-year Average Annual Normal Minimum Air Temperature</v>
      </c>
      <c r="D307" s="23" t="str">
        <f>INDEX(Active!B:B, MATCH(Spearmans2!B307, Active!F:F,0),1)</f>
        <v>Natural</v>
      </c>
      <c r="E307" s="23" t="str">
        <f>INDEX(Active!D:D, MATCH(Spearmans2!B307, Active!F:F,0),1)</f>
        <v>Climate</v>
      </c>
      <c r="F307" s="23" t="str">
        <f>INDEX(Active!K:K, MATCH(Spearmans2!B307, Active!F:F,0),1)</f>
        <v>PRISM climate data - 30-year normal minimum temperature (CÂ°): Annual period: 1981-2010 within the AOI</v>
      </c>
      <c r="G307" s="33" t="s">
        <v>702</v>
      </c>
      <c r="H307" s="23" t="s">
        <v>103</v>
      </c>
      <c r="I307" s="23" t="s">
        <v>133</v>
      </c>
      <c r="J307" s="23" t="s">
        <v>703</v>
      </c>
      <c r="K307" s="56" t="s">
        <v>22</v>
      </c>
      <c r="L307" s="24" t="str">
        <f>IF(RIGHT(K307,2)="WS", LEFT(K307,LEN(K307)-2),K307)</f>
        <v>TMEAN2008</v>
      </c>
      <c r="M307" s="24" t="str">
        <f>INDEX(Active!J:J, MATCH(Spearmans2!L307, Active!F:F,0),1)</f>
        <v>Mean Air Temperature</v>
      </c>
      <c r="N307" s="24" t="str">
        <f>INDEX(Active!B:B, MATCH(Spearmans2!L307, Active!F:F,0),1)</f>
        <v>Natural</v>
      </c>
      <c r="O307" s="24" t="str">
        <f>INDEX(Active!K:K, MATCH(Spearmans2!L307, Active!F:F,0),1)</f>
        <v>PRISM climate data - Mean temperature (°C) within the AOI. Period: 2008 and 2009</v>
      </c>
      <c r="P307" s="34" t="s">
        <v>691</v>
      </c>
      <c r="Q307" s="24" t="s">
        <v>103</v>
      </c>
      <c r="R307" s="24" t="s">
        <v>692</v>
      </c>
      <c r="S307" s="28">
        <v>0.93770896245600222</v>
      </c>
    </row>
    <row r="308" spans="1:19" s="20" customFormat="1" x14ac:dyDescent="0.3">
      <c r="A308" s="33" t="s">
        <v>21</v>
      </c>
      <c r="B308" s="23" t="str">
        <f>IF(RIGHT(A308,2)="WS", LEFT(A308,LEN(A308)-2),A308)</f>
        <v>TMIN8110</v>
      </c>
      <c r="C308" s="23" t="str">
        <f>INDEX(Active!J:J, MATCH(Spearmans2!B308, Active!F:F,0),1)</f>
        <v>30-year Average Annual Normal Minimum Air Temperature</v>
      </c>
      <c r="D308" s="23" t="str">
        <f>INDEX(Active!B:B, MATCH(Spearmans2!B308, Active!F:F,0),1)</f>
        <v>Natural</v>
      </c>
      <c r="E308" s="23" t="str">
        <f>INDEX(Active!D:D, MATCH(Spearmans2!B308, Active!F:F,0),1)</f>
        <v>Climate</v>
      </c>
      <c r="F308" s="23" t="str">
        <f>INDEX(Active!K:K, MATCH(Spearmans2!B308, Active!F:F,0),1)</f>
        <v>PRISM climate data - 30-year normal minimum temperature (CÂ°): Annual period: 1981-2010 within the AOI</v>
      </c>
      <c r="G308" s="33" t="s">
        <v>702</v>
      </c>
      <c r="H308" s="23" t="s">
        <v>103</v>
      </c>
      <c r="I308" s="23" t="s">
        <v>133</v>
      </c>
      <c r="J308" s="23" t="s">
        <v>703</v>
      </c>
      <c r="K308" s="56" t="s">
        <v>24</v>
      </c>
      <c r="L308" s="24" t="str">
        <f>IF(RIGHT(K308,2)="WS", LEFT(K308,LEN(K308)-2),K308)</f>
        <v>TMEAN9120</v>
      </c>
      <c r="M308" s="24" t="str">
        <f>INDEX(Active!J:J, MATCH(Spearmans2!L308, Active!F:F,0),1)</f>
        <v>30-year Mean Annual Air Temperature</v>
      </c>
      <c r="N308" s="24" t="str">
        <f>INDEX(Active!B:B, MATCH(Spearmans2!L308, Active!F:F,0),1)</f>
        <v>Natural</v>
      </c>
      <c r="O308" s="24" t="str">
        <f>INDEX(Active!K:K, MATCH(Spearmans2!L308, Active!F:F,0),1)</f>
        <v>PRISM climate data - 30-year normal mean temperature (CÂ°): Annual period: 1991-2020 within the AOI</v>
      </c>
      <c r="P308" s="34" t="s">
        <v>695</v>
      </c>
      <c r="Q308" s="24" t="s">
        <v>103</v>
      </c>
      <c r="R308" s="24" t="s">
        <v>699</v>
      </c>
      <c r="S308" s="28">
        <v>0.95139525954028525</v>
      </c>
    </row>
    <row r="309" spans="1:19" s="20" customFormat="1" x14ac:dyDescent="0.3">
      <c r="A309" s="33" t="s">
        <v>21</v>
      </c>
      <c r="B309" s="23" t="str">
        <f>IF(RIGHT(A309,2)="WS", LEFT(A309,LEN(A309)-2),A309)</f>
        <v>TMIN8110</v>
      </c>
      <c r="C309" s="23" t="str">
        <f>INDEX(Active!J:J, MATCH(Spearmans2!B309, Active!F:F,0),1)</f>
        <v>30-year Average Annual Normal Minimum Air Temperature</v>
      </c>
      <c r="D309" s="23" t="str">
        <f>INDEX(Active!B:B, MATCH(Spearmans2!B309, Active!F:F,0),1)</f>
        <v>Natural</v>
      </c>
      <c r="E309" s="23" t="str">
        <f>INDEX(Active!D:D, MATCH(Spearmans2!B309, Active!F:F,0),1)</f>
        <v>Climate</v>
      </c>
      <c r="F309" s="23" t="str">
        <f>INDEX(Active!K:K, MATCH(Spearmans2!B309, Active!F:F,0),1)</f>
        <v>PRISM climate data - 30-year normal minimum temperature (CÂ°): Annual period: 1981-2010 within the AOI</v>
      </c>
      <c r="G309" s="33" t="s">
        <v>702</v>
      </c>
      <c r="H309" s="23" t="s">
        <v>103</v>
      </c>
      <c r="I309" s="23" t="s">
        <v>133</v>
      </c>
      <c r="J309" s="23" t="s">
        <v>703</v>
      </c>
      <c r="K309" s="56" t="s">
        <v>20</v>
      </c>
      <c r="L309" s="24" t="str">
        <f>IF(RIGHT(K309,2)="WS", LEFT(K309,LEN(K309)-2),K309)</f>
        <v>TMEAN8110</v>
      </c>
      <c r="M309" s="24" t="str">
        <f>INDEX(Active!J:J, MATCH(Spearmans2!L309, Active!F:F,0),1)</f>
        <v>30-year Mean Annual Air Temperature</v>
      </c>
      <c r="N309" s="24" t="str">
        <f>INDEX(Active!B:B, MATCH(Spearmans2!L309, Active!F:F,0),1)</f>
        <v>Natural</v>
      </c>
      <c r="O309" s="24" t="str">
        <f>INDEX(Active!K:K, MATCH(Spearmans2!L309, Active!F:F,0),1)</f>
        <v>PRISM climate data - 30-year normal mean temperature (CÂ°): Annual period: 1981-2010 within the AOI</v>
      </c>
      <c r="P309" s="34" t="s">
        <v>695</v>
      </c>
      <c r="Q309" s="24" t="s">
        <v>103</v>
      </c>
      <c r="R309" s="24" t="s">
        <v>696</v>
      </c>
      <c r="S309" s="28">
        <v>0.95608346218565987</v>
      </c>
    </row>
    <row r="310" spans="1:19" s="21" customFormat="1" x14ac:dyDescent="0.3">
      <c r="A310" s="38" t="s">
        <v>21</v>
      </c>
      <c r="B310" s="29" t="str">
        <f>IF(RIGHT(A310,2)="WS", LEFT(A310,LEN(A310)-2),A310)</f>
        <v>TMIN8110</v>
      </c>
      <c r="C310" s="29" t="str">
        <f>INDEX(Active!J:J, MATCH(Spearmans2!B310, Active!F:F,0),1)</f>
        <v>30-year Average Annual Normal Minimum Air Temperature</v>
      </c>
      <c r="D310" s="29" t="str">
        <f>INDEX(Active!B:B, MATCH(Spearmans2!B310, Active!F:F,0),1)</f>
        <v>Natural</v>
      </c>
      <c r="E310" s="29" t="str">
        <f>INDEX(Active!D:D, MATCH(Spearmans2!B310, Active!F:F,0),1)</f>
        <v>Climate</v>
      </c>
      <c r="F310" s="29" t="str">
        <f>INDEX(Active!K:K, MATCH(Spearmans2!B310, Active!F:F,0),1)</f>
        <v>PRISM climate data - 30-year normal minimum temperature (CÂ°): Annual period: 1981-2010 within the AOI</v>
      </c>
      <c r="G310" s="38" t="s">
        <v>702</v>
      </c>
      <c r="H310" s="29" t="s">
        <v>103</v>
      </c>
      <c r="I310" s="29" t="s">
        <v>133</v>
      </c>
      <c r="J310" s="29" t="s">
        <v>703</v>
      </c>
      <c r="K310" s="57" t="s">
        <v>25</v>
      </c>
      <c r="L310" s="30" t="str">
        <f>IF(RIGHT(K310,2)="WS", LEFT(K310,LEN(K310)-2),K310)</f>
        <v>TMIN9120</v>
      </c>
      <c r="M310" s="30" t="str">
        <f>INDEX(Active!J:J, MATCH(Spearmans2!L310, Active!F:F,0),1)</f>
        <v>30-year Average Annual Normal Minimum Air Temperature</v>
      </c>
      <c r="N310" s="30" t="str">
        <f>INDEX(Active!B:B, MATCH(Spearmans2!L310, Active!F:F,0),1)</f>
        <v>Natural</v>
      </c>
      <c r="O310" s="30" t="str">
        <f>INDEX(Active!K:K, MATCH(Spearmans2!L310, Active!F:F,0),1)</f>
        <v>PRISM climate data - 30-year normal minimum temperature (CÂ°): Annual period: 1991-2020 within the AOI</v>
      </c>
      <c r="P310" s="53" t="s">
        <v>702</v>
      </c>
      <c r="Q310" s="30" t="s">
        <v>103</v>
      </c>
      <c r="R310" s="30" t="s">
        <v>706</v>
      </c>
      <c r="S310" s="31">
        <v>0.99492194403038281</v>
      </c>
    </row>
    <row r="311" spans="1:19" s="19" customFormat="1" x14ac:dyDescent="0.3">
      <c r="A311" s="37" t="s">
        <v>25</v>
      </c>
      <c r="B311" s="25" t="str">
        <f>IF(RIGHT(A311,2)="WS", LEFT(A311,LEN(A311)-2),A311)</f>
        <v>TMIN9120</v>
      </c>
      <c r="C311" s="25" t="str">
        <f>INDEX(Active!J:J, MATCH(Spearmans2!B311, Active!F:F,0),1)</f>
        <v>30-year Average Annual Normal Minimum Air Temperature</v>
      </c>
      <c r="D311" s="25" t="str">
        <f>INDEX(Active!B:B, MATCH(Spearmans2!B311, Active!F:F,0),1)</f>
        <v>Natural</v>
      </c>
      <c r="E311" s="25" t="str">
        <f>INDEX(Active!D:D, MATCH(Spearmans2!B311, Active!F:F,0),1)</f>
        <v>Climate</v>
      </c>
      <c r="F311" s="25" t="str">
        <f>INDEX(Active!K:K, MATCH(Spearmans2!B311, Active!F:F,0),1)</f>
        <v>PRISM climate data - 30-year normal minimum temperature (CÂ°): Annual period: 1991-2020 within the AOI</v>
      </c>
      <c r="G311" s="37" t="s">
        <v>702</v>
      </c>
      <c r="H311" s="25" t="s">
        <v>103</v>
      </c>
      <c r="I311" s="25" t="s">
        <v>133</v>
      </c>
      <c r="J311" s="25" t="s">
        <v>706</v>
      </c>
      <c r="K311" s="55" t="s">
        <v>35</v>
      </c>
      <c r="L311" s="26" t="str">
        <f>IF(RIGHT(K311,2)="WS", LEFT(K311,LEN(K311)-2),K311)</f>
        <v>ELEV</v>
      </c>
      <c r="M311" s="26" t="str">
        <f>INDEX(Active!J:J, MATCH(Spearmans2!L311, Active!F:F,0),1)</f>
        <v>Mean Elevation</v>
      </c>
      <c r="N311" s="26" t="str">
        <f>INDEX(Active!B:B, MATCH(Spearmans2!L311, Active!F:F,0),1)</f>
        <v>Natural</v>
      </c>
      <c r="O311" s="26" t="str">
        <f>INDEX(Active!K:K, MATCH(Spearmans2!L311, Active!F:F,0),1)</f>
        <v>Mean AOI elevation (m)</v>
      </c>
      <c r="P311" s="52" t="s">
        <v>217</v>
      </c>
      <c r="Q311" s="26" t="s">
        <v>103</v>
      </c>
      <c r="R311" s="26" t="s">
        <v>218</v>
      </c>
      <c r="S311" s="27">
        <v>-0.91030359440594499</v>
      </c>
    </row>
    <row r="312" spans="1:19" s="20" customFormat="1" x14ac:dyDescent="0.3">
      <c r="A312" s="33" t="s">
        <v>25</v>
      </c>
      <c r="B312" s="23" t="str">
        <f>IF(RIGHT(A312,2)="WS", LEFT(A312,LEN(A312)-2),A312)</f>
        <v>TMIN9120</v>
      </c>
      <c r="C312" s="23" t="str">
        <f>INDEX(Active!J:J, MATCH(Spearmans2!B312, Active!F:F,0),1)</f>
        <v>30-year Average Annual Normal Minimum Air Temperature</v>
      </c>
      <c r="D312" s="23" t="str">
        <f>INDEX(Active!B:B, MATCH(Spearmans2!B312, Active!F:F,0),1)</f>
        <v>Natural</v>
      </c>
      <c r="E312" s="23" t="str">
        <f>INDEX(Active!D:D, MATCH(Spearmans2!B312, Active!F:F,0),1)</f>
        <v>Climate</v>
      </c>
      <c r="F312" s="23" t="str">
        <f>INDEX(Active!K:K, MATCH(Spearmans2!B312, Active!F:F,0),1)</f>
        <v>PRISM climate data - 30-year normal minimum temperature (CÂ°): Annual period: 1991-2020 within the AOI</v>
      </c>
      <c r="G312" s="33" t="s">
        <v>702</v>
      </c>
      <c r="H312" s="23" t="s">
        <v>103</v>
      </c>
      <c r="I312" s="23" t="s">
        <v>133</v>
      </c>
      <c r="J312" s="23" t="s">
        <v>706</v>
      </c>
      <c r="K312" s="56" t="s">
        <v>34</v>
      </c>
      <c r="L312" s="24" t="str">
        <f>IF(RIGHT(K312,2)="WS", LEFT(K312,LEN(K312)-2),K312)</f>
        <v>BFI</v>
      </c>
      <c r="M312" s="24" t="str">
        <f>INDEX(Active!J:J, MATCH(Spearmans2!L312, Active!F:F,0),1)</f>
        <v>Base Flow Index</v>
      </c>
      <c r="N312" s="24" t="str">
        <f>INDEX(Active!B:B, MATCH(Spearmans2!L312, Active!F:F,0),1)</f>
        <v>Natural</v>
      </c>
      <c r="O312" s="24" t="str">
        <f>INDEX(Active!K:K, MATCH(Spearmans2!L312, Active!F:F,0),1)</f>
        <v>Base flow is the component of streamflow that can be attributed to ground-water discharge into streams. The BFI is the ratio of base flow to total flow, expressed as a percentage, within AOI</v>
      </c>
      <c r="P312" s="34" t="s">
        <v>137</v>
      </c>
      <c r="Q312" s="24" t="s">
        <v>103</v>
      </c>
      <c r="R312" s="24" t="s">
        <v>138</v>
      </c>
      <c r="S312" s="28">
        <v>-0.83217987407830274</v>
      </c>
    </row>
    <row r="313" spans="1:19" s="20" customFormat="1" x14ac:dyDescent="0.3">
      <c r="A313" s="33" t="s">
        <v>25</v>
      </c>
      <c r="B313" s="23" t="str">
        <f>IF(RIGHT(A313,2)="WS", LEFT(A313,LEN(A313)-2),A313)</f>
        <v>TMIN9120</v>
      </c>
      <c r="C313" s="23" t="str">
        <f>INDEX(Active!J:J, MATCH(Spearmans2!B313, Active!F:F,0),1)</f>
        <v>30-year Average Annual Normal Minimum Air Temperature</v>
      </c>
      <c r="D313" s="23" t="str">
        <f>INDEX(Active!B:B, MATCH(Spearmans2!B313, Active!F:F,0),1)</f>
        <v>Natural</v>
      </c>
      <c r="E313" s="23" t="str">
        <f>INDEX(Active!D:D, MATCH(Spearmans2!B313, Active!F:F,0),1)</f>
        <v>Climate</v>
      </c>
      <c r="F313" s="23" t="str">
        <f>INDEX(Active!K:K, MATCH(Spearmans2!B313, Active!F:F,0),1)</f>
        <v>PRISM climate data - 30-year normal minimum temperature (CÂ°): Annual period: 1991-2020 within the AOI</v>
      </c>
      <c r="G313" s="33" t="s">
        <v>702</v>
      </c>
      <c r="H313" s="23" t="s">
        <v>103</v>
      </c>
      <c r="I313" s="23" t="s">
        <v>133</v>
      </c>
      <c r="J313" s="23" t="s">
        <v>706</v>
      </c>
      <c r="K313" s="56" t="s">
        <v>26</v>
      </c>
      <c r="L313" s="24" t="str">
        <f>IF(RIGHT(K313,2)="WS", LEFT(K313,LEN(K313)-2),K313)</f>
        <v>MAST2008</v>
      </c>
      <c r="M313" s="24" t="str">
        <f>INDEX(Active!J:J, MATCH(Spearmans2!L313, Active!F:F,0),1)</f>
        <v>Mean Annual Stream Temp</v>
      </c>
      <c r="N313" s="24" t="str">
        <f>INDEX(Active!B:B, MATCH(Spearmans2!L313, Active!F:F,0),1)</f>
        <v>Natural</v>
      </c>
      <c r="O313" s="24" t="str">
        <f>INDEX(Active!K:K, MATCH(Spearmans2!L313, Active!F:F,0),1)</f>
        <v>Predicted mean annual stream temperature (Jan-Dec) for year 2008, 2009, 2013, 2014</v>
      </c>
      <c r="P313" s="34" t="s">
        <v>281</v>
      </c>
      <c r="Q313" s="24" t="s">
        <v>103</v>
      </c>
      <c r="R313" s="24" t="s">
        <v>282</v>
      </c>
      <c r="S313" s="28">
        <v>0.80061073406767791</v>
      </c>
    </row>
    <row r="314" spans="1:19" s="20" customFormat="1" x14ac:dyDescent="0.3">
      <c r="A314" s="33" t="s">
        <v>25</v>
      </c>
      <c r="B314" s="23" t="str">
        <f>IF(RIGHT(A314,2)="WS", LEFT(A314,LEN(A314)-2),A314)</f>
        <v>TMIN9120</v>
      </c>
      <c r="C314" s="23" t="str">
        <f>INDEX(Active!J:J, MATCH(Spearmans2!B314, Active!F:F,0),1)</f>
        <v>30-year Average Annual Normal Minimum Air Temperature</v>
      </c>
      <c r="D314" s="23" t="str">
        <f>INDEX(Active!B:B, MATCH(Spearmans2!B314, Active!F:F,0),1)</f>
        <v>Natural</v>
      </c>
      <c r="E314" s="23" t="str">
        <f>INDEX(Active!D:D, MATCH(Spearmans2!B314, Active!F:F,0),1)</f>
        <v>Climate</v>
      </c>
      <c r="F314" s="23" t="str">
        <f>INDEX(Active!K:K, MATCH(Spearmans2!B314, Active!F:F,0),1)</f>
        <v>PRISM climate data - 30-year normal minimum temperature (CÂ°): Annual period: 1991-2020 within the AOI</v>
      </c>
      <c r="G314" s="33" t="s">
        <v>702</v>
      </c>
      <c r="H314" s="23" t="s">
        <v>103</v>
      </c>
      <c r="I314" s="23" t="s">
        <v>133</v>
      </c>
      <c r="J314" s="23" t="s">
        <v>706</v>
      </c>
      <c r="K314" s="56" t="s">
        <v>50</v>
      </c>
      <c r="L314" s="24" t="str">
        <f>IF(RIGHT(K314,2)="WS", LEFT(K314,LEN(K314)-2),K314)</f>
        <v>PCTMXFST2001</v>
      </c>
      <c r="M314" s="24" t="str">
        <f>INDEX(Active!J:J, MATCH(Spearmans2!L314, Active!F:F,0),1)</f>
        <v>Mixed Deciduous/Evergreen Forest Percentage</v>
      </c>
      <c r="N314" s="24" t="str">
        <f>INDEX(Active!B:B, MATCH(Spearmans2!L314, Active!F:F,0),1)</f>
        <v>Natural</v>
      </c>
      <c r="O314" s="24" t="str">
        <f>INDEX(Active!K:K, MATCH(Spearmans2!L314, Active!F:F,0),1)</f>
        <v>% of AOI area classified as mixed deciduous/evergreen forest land cover (NLCD class 43)</v>
      </c>
      <c r="P314" s="34" t="s">
        <v>503</v>
      </c>
      <c r="Q314" s="24" t="s">
        <v>103</v>
      </c>
      <c r="R314" s="24" t="s">
        <v>504</v>
      </c>
      <c r="S314" s="28">
        <v>0.80540130695990564</v>
      </c>
    </row>
    <row r="315" spans="1:19" s="20" customFormat="1" x14ac:dyDescent="0.3">
      <c r="A315" s="33" t="s">
        <v>25</v>
      </c>
      <c r="B315" s="23" t="str">
        <f>IF(RIGHT(A315,2)="WS", LEFT(A315,LEN(A315)-2),A315)</f>
        <v>TMIN9120</v>
      </c>
      <c r="C315" s="23" t="str">
        <f>INDEX(Active!J:J, MATCH(Spearmans2!B315, Active!F:F,0),1)</f>
        <v>30-year Average Annual Normal Minimum Air Temperature</v>
      </c>
      <c r="D315" s="23" t="str">
        <f>INDEX(Active!B:B, MATCH(Spearmans2!B315, Active!F:F,0),1)</f>
        <v>Natural</v>
      </c>
      <c r="E315" s="23" t="str">
        <f>INDEX(Active!D:D, MATCH(Spearmans2!B315, Active!F:F,0),1)</f>
        <v>Climate</v>
      </c>
      <c r="F315" s="23" t="str">
        <f>INDEX(Active!K:K, MATCH(Spearmans2!B315, Active!F:F,0),1)</f>
        <v>PRISM climate data - 30-year normal minimum temperature (CÂ°): Annual period: 1991-2020 within the AOI</v>
      </c>
      <c r="G315" s="33" t="s">
        <v>702</v>
      </c>
      <c r="H315" s="23" t="s">
        <v>103</v>
      </c>
      <c r="I315" s="23" t="s">
        <v>133</v>
      </c>
      <c r="J315" s="23" t="s">
        <v>706</v>
      </c>
      <c r="K315" s="56" t="s">
        <v>23</v>
      </c>
      <c r="L315" s="24" t="str">
        <f>IF(RIGHT(K315,2)="WS", LEFT(K315,LEN(K315)-2),K315)</f>
        <v>TMAX9120</v>
      </c>
      <c r="M315" s="24" t="str">
        <f>INDEX(Active!J:J, MATCH(Spearmans2!L315, Active!F:F,0),1)</f>
        <v>30-year Average Annual Normal Maximum Air Temperature</v>
      </c>
      <c r="N315" s="24" t="str">
        <f>INDEX(Active!B:B, MATCH(Spearmans2!L315, Active!F:F,0),1)</f>
        <v>Natural</v>
      </c>
      <c r="O315" s="24" t="str">
        <f>INDEX(Active!K:K, MATCH(Spearmans2!L315, Active!F:F,0),1)</f>
        <v>PRISM climate data - 30-year normal maximum temperature (CÂ°): Annual period: 1991-2020 within the AOI</v>
      </c>
      <c r="P315" s="34" t="s">
        <v>684</v>
      </c>
      <c r="Q315" s="24" t="s">
        <v>103</v>
      </c>
      <c r="R315" s="24" t="s">
        <v>688</v>
      </c>
      <c r="S315" s="28">
        <v>0.81390503536145942</v>
      </c>
    </row>
    <row r="316" spans="1:19" s="20" customFormat="1" x14ac:dyDescent="0.3">
      <c r="A316" s="33" t="s">
        <v>25</v>
      </c>
      <c r="B316" s="23" t="str">
        <f>IF(RIGHT(A316,2)="WS", LEFT(A316,LEN(A316)-2),A316)</f>
        <v>TMIN9120</v>
      </c>
      <c r="C316" s="23" t="str">
        <f>INDEX(Active!J:J, MATCH(Spearmans2!B316, Active!F:F,0),1)</f>
        <v>30-year Average Annual Normal Minimum Air Temperature</v>
      </c>
      <c r="D316" s="23" t="str">
        <f>INDEX(Active!B:B, MATCH(Spearmans2!B316, Active!F:F,0),1)</f>
        <v>Natural</v>
      </c>
      <c r="E316" s="23" t="str">
        <f>INDEX(Active!D:D, MATCH(Spearmans2!B316, Active!F:F,0),1)</f>
        <v>Climate</v>
      </c>
      <c r="F316" s="23" t="str">
        <f>INDEX(Active!K:K, MATCH(Spearmans2!B316, Active!F:F,0),1)</f>
        <v>PRISM climate data - 30-year normal minimum temperature (CÂ°): Annual period: 1991-2020 within the AOI</v>
      </c>
      <c r="G316" s="33" t="s">
        <v>702</v>
      </c>
      <c r="H316" s="23" t="s">
        <v>103</v>
      </c>
      <c r="I316" s="23" t="s">
        <v>133</v>
      </c>
      <c r="J316" s="23" t="s">
        <v>706</v>
      </c>
      <c r="K316" s="56" t="s">
        <v>19</v>
      </c>
      <c r="L316" s="24" t="str">
        <f>IF(RIGHT(K316,2)="WS", LEFT(K316,LEN(K316)-2),K316)</f>
        <v>TMAX8110</v>
      </c>
      <c r="M316" s="24" t="str">
        <f>INDEX(Active!J:J, MATCH(Spearmans2!L316, Active!F:F,0),1)</f>
        <v>30-year Average Annual Normal Maximum Air Temperature</v>
      </c>
      <c r="N316" s="24" t="str">
        <f>INDEX(Active!B:B, MATCH(Spearmans2!L316, Active!F:F,0),1)</f>
        <v>Natural</v>
      </c>
      <c r="O316" s="24" t="str">
        <f>INDEX(Active!K:K, MATCH(Spearmans2!L316, Active!F:F,0),1)</f>
        <v>PRISM climate data - 30-year normal maximum temperature (CÂ°): Annual period: 1981-2010 within the AOI</v>
      </c>
      <c r="P316" s="34" t="s">
        <v>684</v>
      </c>
      <c r="Q316" s="24" t="s">
        <v>103</v>
      </c>
      <c r="R316" s="24" t="s">
        <v>685</v>
      </c>
      <c r="S316" s="28">
        <v>0.82902908639856532</v>
      </c>
    </row>
    <row r="317" spans="1:19" s="20" customFormat="1" x14ac:dyDescent="0.3">
      <c r="A317" s="33" t="s">
        <v>25</v>
      </c>
      <c r="B317" s="23" t="str">
        <f>IF(RIGHT(A317,2)="WS", LEFT(A317,LEN(A317)-2),A317)</f>
        <v>TMIN9120</v>
      </c>
      <c r="C317" s="23" t="str">
        <f>INDEX(Active!J:J, MATCH(Spearmans2!B317, Active!F:F,0),1)</f>
        <v>30-year Average Annual Normal Minimum Air Temperature</v>
      </c>
      <c r="D317" s="23" t="str">
        <f>INDEX(Active!B:B, MATCH(Spearmans2!B317, Active!F:F,0),1)</f>
        <v>Natural</v>
      </c>
      <c r="E317" s="23" t="str">
        <f>INDEX(Active!D:D, MATCH(Spearmans2!B317, Active!F:F,0),1)</f>
        <v>Climate</v>
      </c>
      <c r="F317" s="23" t="str">
        <f>INDEX(Active!K:K, MATCH(Spearmans2!B317, Active!F:F,0),1)</f>
        <v>PRISM climate data - 30-year normal minimum temperature (CÂ°): Annual period: 1991-2020 within the AOI</v>
      </c>
      <c r="G317" s="33" t="s">
        <v>702</v>
      </c>
      <c r="H317" s="23" t="s">
        <v>103</v>
      </c>
      <c r="I317" s="23" t="s">
        <v>133</v>
      </c>
      <c r="J317" s="23" t="s">
        <v>706</v>
      </c>
      <c r="K317" s="56" t="s">
        <v>36</v>
      </c>
      <c r="L317" s="24" t="str">
        <f>IF(RIGHT(K317,2)="WS", LEFT(K317,LEN(K317)-2),K317)</f>
        <v>MWST2008</v>
      </c>
      <c r="M317" s="24" t="str">
        <f>INDEX(Active!J:J, MATCH(Spearmans2!L317, Active!F:F,0),1)</f>
        <v>Mean Winter Stream Temp</v>
      </c>
      <c r="N317" s="24" t="str">
        <f>INDEX(Active!B:B, MATCH(Spearmans2!L317, Active!F:F,0),1)</f>
        <v>Natural</v>
      </c>
      <c r="O317" s="24" t="str">
        <f>INDEX(Active!K:K, MATCH(Spearmans2!L317, Active!F:F,0),1)</f>
        <v>Predicted mean winter stream temperature (Jan-Feb) for year 2008, 2009, 2013, 2014</v>
      </c>
      <c r="P317" s="34" t="s">
        <v>302</v>
      </c>
      <c r="Q317" s="24" t="s">
        <v>103</v>
      </c>
      <c r="R317" s="24" t="s">
        <v>303</v>
      </c>
      <c r="S317" s="28">
        <v>0.89074462338446792</v>
      </c>
    </row>
    <row r="318" spans="1:19" s="20" customFormat="1" x14ac:dyDescent="0.3">
      <c r="A318" s="33" t="s">
        <v>25</v>
      </c>
      <c r="B318" s="23" t="str">
        <f>IF(RIGHT(A318,2)="WS", LEFT(A318,LEN(A318)-2),A318)</f>
        <v>TMIN9120</v>
      </c>
      <c r="C318" s="23" t="str">
        <f>INDEX(Active!J:J, MATCH(Spearmans2!B318, Active!F:F,0),1)</f>
        <v>30-year Average Annual Normal Minimum Air Temperature</v>
      </c>
      <c r="D318" s="23" t="str">
        <f>INDEX(Active!B:B, MATCH(Spearmans2!B318, Active!F:F,0),1)</f>
        <v>Natural</v>
      </c>
      <c r="E318" s="23" t="str">
        <f>INDEX(Active!D:D, MATCH(Spearmans2!B318, Active!F:F,0),1)</f>
        <v>Climate</v>
      </c>
      <c r="F318" s="23" t="str">
        <f>INDEX(Active!K:K, MATCH(Spearmans2!B318, Active!F:F,0),1)</f>
        <v>PRISM climate data - 30-year normal minimum temperature (CÂ°): Annual period: 1991-2020 within the AOI</v>
      </c>
      <c r="G318" s="33" t="s">
        <v>702</v>
      </c>
      <c r="H318" s="23" t="s">
        <v>103</v>
      </c>
      <c r="I318" s="23" t="s">
        <v>133</v>
      </c>
      <c r="J318" s="23" t="s">
        <v>706</v>
      </c>
      <c r="K318" s="56" t="s">
        <v>22</v>
      </c>
      <c r="L318" s="24" t="str">
        <f>IF(RIGHT(K318,2)="WS", LEFT(K318,LEN(K318)-2),K318)</f>
        <v>TMEAN2008</v>
      </c>
      <c r="M318" s="24" t="str">
        <f>INDEX(Active!J:J, MATCH(Spearmans2!L318, Active!F:F,0),1)</f>
        <v>Mean Air Temperature</v>
      </c>
      <c r="N318" s="24" t="str">
        <f>INDEX(Active!B:B, MATCH(Spearmans2!L318, Active!F:F,0),1)</f>
        <v>Natural</v>
      </c>
      <c r="O318" s="24" t="str">
        <f>INDEX(Active!K:K, MATCH(Spearmans2!L318, Active!F:F,0),1)</f>
        <v>PRISM climate data - Mean temperature (°C) within the AOI. Period: 2008 and 2009</v>
      </c>
      <c r="P318" s="34" t="s">
        <v>691</v>
      </c>
      <c r="Q318" s="24" t="s">
        <v>103</v>
      </c>
      <c r="R318" s="24" t="s">
        <v>692</v>
      </c>
      <c r="S318" s="28">
        <v>0.94144339459900761</v>
      </c>
    </row>
    <row r="319" spans="1:19" s="20" customFormat="1" x14ac:dyDescent="0.3">
      <c r="A319" s="33" t="s">
        <v>25</v>
      </c>
      <c r="B319" s="23" t="str">
        <f>IF(RIGHT(A319,2)="WS", LEFT(A319,LEN(A319)-2),A319)</f>
        <v>TMIN9120</v>
      </c>
      <c r="C319" s="23" t="str">
        <f>INDEX(Active!J:J, MATCH(Spearmans2!B319, Active!F:F,0),1)</f>
        <v>30-year Average Annual Normal Minimum Air Temperature</v>
      </c>
      <c r="D319" s="23" t="str">
        <f>INDEX(Active!B:B, MATCH(Spearmans2!B319, Active!F:F,0),1)</f>
        <v>Natural</v>
      </c>
      <c r="E319" s="23" t="str">
        <f>INDEX(Active!D:D, MATCH(Spearmans2!B319, Active!F:F,0),1)</f>
        <v>Climate</v>
      </c>
      <c r="F319" s="23" t="str">
        <f>INDEX(Active!K:K, MATCH(Spearmans2!B319, Active!F:F,0),1)</f>
        <v>PRISM climate data - 30-year normal minimum temperature (CÂ°): Annual period: 1991-2020 within the AOI</v>
      </c>
      <c r="G319" s="33" t="s">
        <v>702</v>
      </c>
      <c r="H319" s="23" t="s">
        <v>103</v>
      </c>
      <c r="I319" s="23" t="s">
        <v>133</v>
      </c>
      <c r="J319" s="23" t="s">
        <v>706</v>
      </c>
      <c r="K319" s="56" t="s">
        <v>20</v>
      </c>
      <c r="L319" s="24" t="str">
        <f>IF(RIGHT(K319,2)="WS", LEFT(K319,LEN(K319)-2),K319)</f>
        <v>TMEAN8110</v>
      </c>
      <c r="M319" s="24" t="str">
        <f>INDEX(Active!J:J, MATCH(Spearmans2!L319, Active!F:F,0),1)</f>
        <v>30-year Mean Annual Air Temperature</v>
      </c>
      <c r="N319" s="24" t="str">
        <f>INDEX(Active!B:B, MATCH(Spearmans2!L319, Active!F:F,0),1)</f>
        <v>Natural</v>
      </c>
      <c r="O319" s="24" t="str">
        <f>INDEX(Active!K:K, MATCH(Spearmans2!L319, Active!F:F,0),1)</f>
        <v>PRISM climate data - 30-year normal mean temperature (CÂ°): Annual period: 1981-2010 within the AOI</v>
      </c>
      <c r="P319" s="34" t="s">
        <v>695</v>
      </c>
      <c r="Q319" s="24" t="s">
        <v>103</v>
      </c>
      <c r="R319" s="24" t="s">
        <v>696</v>
      </c>
      <c r="S319" s="28">
        <v>0.9569673249035372</v>
      </c>
    </row>
    <row r="320" spans="1:19" x14ac:dyDescent="0.3">
      <c r="A320" s="33" t="s">
        <v>25</v>
      </c>
      <c r="B320" s="23" t="str">
        <f>IF(RIGHT(A320,2)="WS", LEFT(A320,LEN(A320)-2),A320)</f>
        <v>TMIN9120</v>
      </c>
      <c r="C320" s="23" t="str">
        <f>INDEX(Active!J:J, MATCH(Spearmans2!B320, Active!F:F,0),1)</f>
        <v>30-year Average Annual Normal Minimum Air Temperature</v>
      </c>
      <c r="D320" s="23" t="str">
        <f>INDEX(Active!B:B, MATCH(Spearmans2!B320, Active!F:F,0),1)</f>
        <v>Natural</v>
      </c>
      <c r="E320" s="23" t="str">
        <f>INDEX(Active!D:D, MATCH(Spearmans2!B320, Active!F:F,0),1)</f>
        <v>Climate</v>
      </c>
      <c r="F320" s="23" t="str">
        <f>INDEX(Active!K:K, MATCH(Spearmans2!B320, Active!F:F,0),1)</f>
        <v>PRISM climate data - 30-year normal minimum temperature (CÂ°): Annual period: 1991-2020 within the AOI</v>
      </c>
      <c r="G320" s="33" t="s">
        <v>702</v>
      </c>
      <c r="H320" s="23" t="s">
        <v>103</v>
      </c>
      <c r="I320" s="23" t="s">
        <v>133</v>
      </c>
      <c r="J320" s="23" t="s">
        <v>706</v>
      </c>
      <c r="K320" s="56" t="s">
        <v>24</v>
      </c>
      <c r="L320" s="24" t="str">
        <f>IF(RIGHT(K320,2)="WS", LEFT(K320,LEN(K320)-2),K320)</f>
        <v>TMEAN9120</v>
      </c>
      <c r="M320" s="24" t="str">
        <f>INDEX(Active!J:J, MATCH(Spearmans2!L320, Active!F:F,0),1)</f>
        <v>30-year Mean Annual Air Temperature</v>
      </c>
      <c r="N320" s="24" t="str">
        <f>INDEX(Active!B:B, MATCH(Spearmans2!L320, Active!F:F,0),1)</f>
        <v>Natural</v>
      </c>
      <c r="O320" s="24" t="str">
        <f>INDEX(Active!K:K, MATCH(Spearmans2!L320, Active!F:F,0),1)</f>
        <v>PRISM climate data - 30-year normal mean temperature (CÂ°): Annual period: 1991-2020 within the AOI</v>
      </c>
      <c r="P320" s="34" t="s">
        <v>695</v>
      </c>
      <c r="Q320" s="24" t="s">
        <v>103</v>
      </c>
      <c r="R320" s="24" t="s">
        <v>699</v>
      </c>
      <c r="S320" s="35">
        <v>0.95752523915349874</v>
      </c>
    </row>
    <row r="321" spans="1:19" s="42" customFormat="1" x14ac:dyDescent="0.3">
      <c r="A321" s="38" t="s">
        <v>25</v>
      </c>
      <c r="B321" s="29" t="str">
        <f>IF(RIGHT(A321,2)="WS", LEFT(A321,LEN(A321)-2),A321)</f>
        <v>TMIN9120</v>
      </c>
      <c r="C321" s="29" t="str">
        <f>INDEX(Active!J:J, MATCH(Spearmans2!B321, Active!F:F,0),1)</f>
        <v>30-year Average Annual Normal Minimum Air Temperature</v>
      </c>
      <c r="D321" s="29" t="str">
        <f>INDEX(Active!B:B, MATCH(Spearmans2!B321, Active!F:F,0),1)</f>
        <v>Natural</v>
      </c>
      <c r="E321" s="29" t="str">
        <f>INDEX(Active!D:D, MATCH(Spearmans2!B321, Active!F:F,0),1)</f>
        <v>Climate</v>
      </c>
      <c r="F321" s="29" t="str">
        <f>INDEX(Active!K:K, MATCH(Spearmans2!B321, Active!F:F,0),1)</f>
        <v>PRISM climate data - 30-year normal minimum temperature (CÂ°): Annual period: 1991-2020 within the AOI</v>
      </c>
      <c r="G321" s="38" t="s">
        <v>702</v>
      </c>
      <c r="H321" s="29" t="s">
        <v>103</v>
      </c>
      <c r="I321" s="29" t="s">
        <v>133</v>
      </c>
      <c r="J321" s="29" t="s">
        <v>706</v>
      </c>
      <c r="K321" s="57" t="s">
        <v>21</v>
      </c>
      <c r="L321" s="30" t="str">
        <f>IF(RIGHT(K321,2)="WS", LEFT(K321,LEN(K321)-2),K321)</f>
        <v>TMIN8110</v>
      </c>
      <c r="M321" s="30" t="str">
        <f>INDEX(Active!J:J, MATCH(Spearmans2!L321, Active!F:F,0),1)</f>
        <v>30-year Average Annual Normal Minimum Air Temperature</v>
      </c>
      <c r="N321" s="30" t="str">
        <f>INDEX(Active!B:B, MATCH(Spearmans2!L321, Active!F:F,0),1)</f>
        <v>Natural</v>
      </c>
      <c r="O321" s="30" t="str">
        <f>INDEX(Active!K:K, MATCH(Spearmans2!L321, Active!F:F,0),1)</f>
        <v>PRISM climate data - 30-year normal minimum temperature (CÂ°): Annual period: 1981-2010 within the AOI</v>
      </c>
      <c r="P321" s="53" t="s">
        <v>702</v>
      </c>
      <c r="Q321" s="30" t="s">
        <v>103</v>
      </c>
      <c r="R321" s="30" t="s">
        <v>703</v>
      </c>
      <c r="S321" s="40">
        <v>0.99492194403038281</v>
      </c>
    </row>
    <row r="322" spans="1:19" s="43" customFormat="1" x14ac:dyDescent="0.3">
      <c r="A322" s="37" t="s">
        <v>9</v>
      </c>
      <c r="B322" s="25" t="str">
        <f>IF(RIGHT(A322,2)="WS", LEFT(A322,LEN(A322)-2),A322)</f>
        <v>WATERINPUT</v>
      </c>
      <c r="C322" s="25" t="str">
        <f>INDEX(Active!J:J, MATCH(Spearmans2!B322, Active!F:F,0),1)</f>
        <v>Water Input</v>
      </c>
      <c r="D322" s="25" t="str">
        <f>INDEX(Active!B:B, MATCH(Spearmans2!B322, Active!F:F,0),1)</f>
        <v>Anthropogenic</v>
      </c>
      <c r="E322" s="25" t="str">
        <f>INDEX(Active!D:D, MATCH(Spearmans2!B322, Active!F:F,0),1)</f>
        <v>Agriculture</v>
      </c>
      <c r="F322" s="25" t="str">
        <f>INDEX(Active!K:K, MATCH(Spearmans2!B322, Active!F:F,0),1)</f>
        <v>Water Input (km2/cm): Ratio of the total area of irrigated land to precipitation within AOI</v>
      </c>
      <c r="G322" s="37" t="s">
        <v>713</v>
      </c>
      <c r="H322" s="25" t="s">
        <v>92</v>
      </c>
      <c r="I322" s="25" t="s">
        <v>94</v>
      </c>
      <c r="J322" s="25" t="s">
        <v>714</v>
      </c>
      <c r="K322" s="55" t="s">
        <v>10</v>
      </c>
      <c r="L322" s="26" t="str">
        <f>IF(RIGHT(K322,2)="WS", LEFT(K322,LEN(K322)-2),K322)</f>
        <v>AGKFFACT</v>
      </c>
      <c r="M322" s="26" t="str">
        <f>INDEX(Active!J:J, MATCH(Spearmans2!L322, Active!F:F,0),1)</f>
        <v>Ag Soil Erodibility Kf Factor</v>
      </c>
      <c r="N322" s="26" t="str">
        <f>INDEX(Active!B:B, MATCH(Spearmans2!L322, Active!F:F,0),1)</f>
        <v>Anthropogenic</v>
      </c>
      <c r="O322" s="26" t="str">
        <f>INDEX(Active!K:K, MATCH(Spearmans2!L322,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22" s="52" t="s">
        <v>98</v>
      </c>
      <c r="Q322" s="26" t="s">
        <v>92</v>
      </c>
      <c r="R322" s="26" t="s">
        <v>99</v>
      </c>
      <c r="S322" s="41">
        <v>0.92901414266671711</v>
      </c>
    </row>
    <row r="323" spans="1:19" x14ac:dyDescent="0.3">
      <c r="A323" s="33" t="s">
        <v>9</v>
      </c>
      <c r="B323" s="23" t="str">
        <f>IF(RIGHT(A323,2)="WS", LEFT(A323,LEN(A323)-2),A323)</f>
        <v>WATERINPUT</v>
      </c>
      <c r="C323" s="23" t="str">
        <f>INDEX(Active!J:J, MATCH(Spearmans2!B323, Active!F:F,0),1)</f>
        <v>Water Input</v>
      </c>
      <c r="D323" s="23" t="str">
        <f>INDEX(Active!B:B, MATCH(Spearmans2!B323, Active!F:F,0),1)</f>
        <v>Anthropogenic</v>
      </c>
      <c r="E323" s="23" t="str">
        <f>INDEX(Active!D:D, MATCH(Spearmans2!B323, Active!F:F,0),1)</f>
        <v>Agriculture</v>
      </c>
      <c r="F323" s="23" t="str">
        <f>INDEX(Active!K:K, MATCH(Spearmans2!B323, Active!F:F,0),1)</f>
        <v>Water Input (km2/cm): Ratio of the total area of irrigated land to precipitation within AOI</v>
      </c>
      <c r="G323" s="33" t="s">
        <v>713</v>
      </c>
      <c r="H323" s="23" t="s">
        <v>92</v>
      </c>
      <c r="I323" s="23" t="s">
        <v>94</v>
      </c>
      <c r="J323" s="23" t="s">
        <v>714</v>
      </c>
      <c r="K323" s="56" t="s">
        <v>13</v>
      </c>
      <c r="L323" s="24" t="str">
        <f>IF(RIGHT(K323,2)="WS", LEFT(K323,LEN(K323)-2),K323)</f>
        <v>FERT</v>
      </c>
      <c r="M323" s="24" t="str">
        <f>INDEX(Active!J:J, MATCH(Spearmans2!L323, Active!F:F,0),1)</f>
        <v>Synthetic Nitrogen Fertilizer Application Mean Rate</v>
      </c>
      <c r="N323" s="24" t="str">
        <f>INDEX(Active!B:B, MATCH(Spearmans2!L323, Active!F:F,0),1)</f>
        <v>Anthropogenic</v>
      </c>
      <c r="O323" s="24" t="str">
        <f>INDEX(Active!K:K, MATCH(Spearmans2!L323, Active!F:F,0),1)</f>
        <v>Mean rate of synthetic nitrogen fertilizer application to agricultural land in kg N/ha/yr, within the AOI</v>
      </c>
      <c r="P323" s="34" t="s">
        <v>226</v>
      </c>
      <c r="Q323" s="24" t="s">
        <v>92</v>
      </c>
      <c r="R323" s="24" t="s">
        <v>227</v>
      </c>
      <c r="S323" s="35">
        <v>0.93269025485344847</v>
      </c>
    </row>
    <row r="324" spans="1:19" x14ac:dyDescent="0.3">
      <c r="A324" s="33" t="s">
        <v>9</v>
      </c>
      <c r="B324" s="23" t="str">
        <f>IF(RIGHT(A324,2)="WS", LEFT(A324,LEN(A324)-2),A324)</f>
        <v>WATERINPUT</v>
      </c>
      <c r="C324" s="23" t="str">
        <f>INDEX(Active!J:J, MATCH(Spearmans2!B324, Active!F:F,0),1)</f>
        <v>Water Input</v>
      </c>
      <c r="D324" s="23" t="str">
        <f>INDEX(Active!B:B, MATCH(Spearmans2!B324, Active!F:F,0),1)</f>
        <v>Anthropogenic</v>
      </c>
      <c r="E324" s="23" t="str">
        <f>INDEX(Active!D:D, MATCH(Spearmans2!B324, Active!F:F,0),1)</f>
        <v>Agriculture</v>
      </c>
      <c r="F324" s="23" t="str">
        <f>INDEX(Active!K:K, MATCH(Spearmans2!B324, Active!F:F,0),1)</f>
        <v>Water Input (km2/cm): Ratio of the total area of irrigated land to precipitation within AOI</v>
      </c>
      <c r="G324" s="33" t="s">
        <v>713</v>
      </c>
      <c r="H324" s="23" t="s">
        <v>92</v>
      </c>
      <c r="I324" s="23" t="s">
        <v>94</v>
      </c>
      <c r="J324" s="23" t="s">
        <v>714</v>
      </c>
      <c r="K324" s="56" t="s">
        <v>11</v>
      </c>
      <c r="L324" s="24" t="str">
        <f>IF(RIGHT(K324,2)="WS", LEFT(K324,LEN(K324)-2),K324)</f>
        <v>CBNF</v>
      </c>
      <c r="M324" s="24" t="str">
        <f>INDEX(Active!J:J, MATCH(Spearmans2!L324, Active!F:F,0),1)</f>
        <v>Cultivated Biological Nitrogen Fixation Mean Rate</v>
      </c>
      <c r="N324" s="24" t="str">
        <f>INDEX(Active!B:B, MATCH(Spearmans2!L324, Active!F:F,0),1)</f>
        <v>Anthropogenic</v>
      </c>
      <c r="O324" s="24" t="str">
        <f>INDEX(Active!K:K, MATCH(Spearmans2!L324, Active!F:F,0),1)</f>
        <v>Mean rate of biological nitrogen fixation from the cultivation of crops in kg N/ha/yr, within AOI</v>
      </c>
      <c r="P324" s="34" t="s">
        <v>168</v>
      </c>
      <c r="Q324" s="24" t="s">
        <v>92</v>
      </c>
      <c r="R324" s="24" t="s">
        <v>169</v>
      </c>
      <c r="S324" s="35">
        <v>0.95567543929889631</v>
      </c>
    </row>
    <row r="325" spans="1:19" s="42" customFormat="1" x14ac:dyDescent="0.3">
      <c r="A325" s="38" t="s">
        <v>9</v>
      </c>
      <c r="B325" s="29" t="str">
        <f>IF(RIGHT(A325,2)="WS", LEFT(A325,LEN(A325)-2),A325)</f>
        <v>WATERINPUT</v>
      </c>
      <c r="C325" s="29" t="str">
        <f>INDEX(Active!J:J, MATCH(Spearmans2!B325, Active!F:F,0),1)</f>
        <v>Water Input</v>
      </c>
      <c r="D325" s="29" t="str">
        <f>INDEX(Active!B:B, MATCH(Spearmans2!B325, Active!F:F,0),1)</f>
        <v>Anthropogenic</v>
      </c>
      <c r="E325" s="29" t="str">
        <f>INDEX(Active!D:D, MATCH(Spearmans2!B325, Active!F:F,0),1)</f>
        <v>Agriculture</v>
      </c>
      <c r="F325" s="29" t="str">
        <f>INDEX(Active!K:K, MATCH(Spearmans2!B325, Active!F:F,0),1)</f>
        <v>Water Input (km2/cm): Ratio of the total area of irrigated land to precipitation within AOI</v>
      </c>
      <c r="G325" s="38" t="s">
        <v>713</v>
      </c>
      <c r="H325" s="29" t="s">
        <v>92</v>
      </c>
      <c r="I325" s="29" t="s">
        <v>94</v>
      </c>
      <c r="J325" s="29" t="s">
        <v>714</v>
      </c>
      <c r="K325" s="57" t="s">
        <v>8</v>
      </c>
      <c r="L325" s="30" t="str">
        <f>IF(RIGHT(K325,2)="WS", LEFT(K325,LEN(K325)-2),K325)</f>
        <v>WDRW_LD</v>
      </c>
      <c r="M325" s="30" t="str">
        <f>INDEX(Active!J:J, MATCH(Spearmans2!L325, Active!F:F,0),1)</f>
        <v>Agricultural Fresh Surface-Water Withdraw</v>
      </c>
      <c r="N325" s="30" t="str">
        <f>INDEX(Active!B:B, MATCH(Spearmans2!L325, Active!F:F,0),1)</f>
        <v>Anthropogenic</v>
      </c>
      <c r="O325" s="30" t="str">
        <f>INDEX(Active!K:K, MATCH(Spearmans2!L325, Active!F:F,0),1)</f>
        <v>Total fresh surface-water withdrawals in agricultural land per AOI area (L/day)</v>
      </c>
      <c r="P325" s="53" t="s">
        <v>718</v>
      </c>
      <c r="Q325" s="30" t="s">
        <v>92</v>
      </c>
      <c r="R325" s="30" t="s">
        <v>719</v>
      </c>
      <c r="S325" s="40">
        <v>0.9719127338814193</v>
      </c>
    </row>
    <row r="326" spans="1:19" s="43" customFormat="1" x14ac:dyDescent="0.3">
      <c r="A326" s="37" t="s">
        <v>8</v>
      </c>
      <c r="B326" s="25" t="str">
        <f>IF(RIGHT(A326,2)="WS", LEFT(A326,LEN(A326)-2),A326)</f>
        <v>WDRW_LD</v>
      </c>
      <c r="C326" s="25" t="str">
        <f>INDEX(Active!J:J, MATCH(Spearmans2!B326, Active!F:F,0),1)</f>
        <v>Agricultural Fresh Surface-Water Withdraw</v>
      </c>
      <c r="D326" s="25" t="str">
        <f>INDEX(Active!B:B, MATCH(Spearmans2!B326, Active!F:F,0),1)</f>
        <v>Anthropogenic</v>
      </c>
      <c r="E326" s="25" t="str">
        <f>INDEX(Active!D:D, MATCH(Spearmans2!B326, Active!F:F,0),1)</f>
        <v>Agriculture</v>
      </c>
      <c r="F326" s="25" t="str">
        <f>INDEX(Active!K:K, MATCH(Spearmans2!B326, Active!F:F,0),1)</f>
        <v>Total fresh surface-water withdrawals in agricultural land per AOI area (L/day)</v>
      </c>
      <c r="G326" s="37" t="s">
        <v>718</v>
      </c>
      <c r="H326" s="25" t="s">
        <v>92</v>
      </c>
      <c r="I326" s="25" t="s">
        <v>94</v>
      </c>
      <c r="J326" s="25" t="s">
        <v>719</v>
      </c>
      <c r="K326" s="55" t="s">
        <v>12</v>
      </c>
      <c r="L326" s="26" t="str">
        <f>IF(RIGHT(K326,2)="WS", LEFT(K326,LEN(K326)-2),K326)</f>
        <v>MANURE</v>
      </c>
      <c r="M326" s="26" t="str">
        <f>INDEX(Active!J:J, MATCH(Spearmans2!L326, Active!F:F,0),1)</f>
        <v>Mean Manure Application Rate</v>
      </c>
      <c r="N326" s="26" t="str">
        <f>INDEX(Active!B:B, MATCH(Spearmans2!L326, Active!F:F,0),1)</f>
        <v>Anthropogenic</v>
      </c>
      <c r="O326" s="26" t="str">
        <f>INDEX(Active!K:K, MATCH(Spearmans2!L326, Active!F:F,0),1)</f>
        <v>Mean rate of manure application to agricultural land from confined animal feeding operations in kg N/ha/yr, within AOI</v>
      </c>
      <c r="P326" s="52" t="s">
        <v>276</v>
      </c>
      <c r="Q326" s="26" t="s">
        <v>92</v>
      </c>
      <c r="R326" s="26" t="s">
        <v>277</v>
      </c>
      <c r="S326" s="41">
        <v>0.8252050361178036</v>
      </c>
    </row>
    <row r="327" spans="1:19" x14ac:dyDescent="0.3">
      <c r="A327" s="33" t="s">
        <v>8</v>
      </c>
      <c r="B327" s="23" t="str">
        <f>IF(RIGHT(A327,2)="WS", LEFT(A327,LEN(A327)-2),A327)</f>
        <v>WDRW_LD</v>
      </c>
      <c r="C327" s="23" t="str">
        <f>INDEX(Active!J:J, MATCH(Spearmans2!B327, Active!F:F,0),1)</f>
        <v>Agricultural Fresh Surface-Water Withdraw</v>
      </c>
      <c r="D327" s="23" t="str">
        <f>INDEX(Active!B:B, MATCH(Spearmans2!B327, Active!F:F,0),1)</f>
        <v>Anthropogenic</v>
      </c>
      <c r="E327" s="23" t="str">
        <f>INDEX(Active!D:D, MATCH(Spearmans2!B327, Active!F:F,0),1)</f>
        <v>Agriculture</v>
      </c>
      <c r="F327" s="23" t="str">
        <f>INDEX(Active!K:K, MATCH(Spearmans2!B327, Active!F:F,0),1)</f>
        <v>Total fresh surface-water withdrawals in agricultural land per AOI area (L/day)</v>
      </c>
      <c r="G327" s="33" t="s">
        <v>718</v>
      </c>
      <c r="H327" s="23" t="s">
        <v>92</v>
      </c>
      <c r="I327" s="23" t="s">
        <v>94</v>
      </c>
      <c r="J327" s="23" t="s">
        <v>719</v>
      </c>
      <c r="K327" s="56" t="s">
        <v>10</v>
      </c>
      <c r="L327" s="24" t="str">
        <f>IF(RIGHT(K327,2)="WS", LEFT(K327,LEN(K327)-2),K327)</f>
        <v>AGKFFACT</v>
      </c>
      <c r="M327" s="24" t="str">
        <f>INDEX(Active!J:J, MATCH(Spearmans2!L327, Active!F:F,0),1)</f>
        <v>Ag Soil Erodibility Kf Factor</v>
      </c>
      <c r="N327" s="24" t="str">
        <f>INDEX(Active!B:B, MATCH(Spearmans2!L327, Active!F:F,0),1)</f>
        <v>Anthropogenic</v>
      </c>
      <c r="O327" s="24" t="str">
        <f>INDEX(Active!K:K, MATCH(Spearmans2!L327,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27" s="34" t="s">
        <v>98</v>
      </c>
      <c r="Q327" s="24" t="s">
        <v>92</v>
      </c>
      <c r="R327" s="24" t="s">
        <v>99</v>
      </c>
      <c r="S327" s="35">
        <v>0.95018592319070538</v>
      </c>
    </row>
    <row r="328" spans="1:19" x14ac:dyDescent="0.3">
      <c r="A328" s="33" t="s">
        <v>8</v>
      </c>
      <c r="B328" s="23" t="str">
        <f>IF(RIGHT(A328,2)="WS", LEFT(A328,LEN(A328)-2),A328)</f>
        <v>WDRW_LD</v>
      </c>
      <c r="C328" s="23" t="str">
        <f>INDEX(Active!J:J, MATCH(Spearmans2!B328, Active!F:F,0),1)</f>
        <v>Agricultural Fresh Surface-Water Withdraw</v>
      </c>
      <c r="D328" s="23" t="str">
        <f>INDEX(Active!B:B, MATCH(Spearmans2!B328, Active!F:F,0),1)</f>
        <v>Anthropogenic</v>
      </c>
      <c r="E328" s="23" t="str">
        <f>INDEX(Active!D:D, MATCH(Spearmans2!B328, Active!F:F,0),1)</f>
        <v>Agriculture</v>
      </c>
      <c r="F328" s="23" t="str">
        <f>INDEX(Active!K:K, MATCH(Spearmans2!B328, Active!F:F,0),1)</f>
        <v>Total fresh surface-water withdrawals in agricultural land per AOI area (L/day)</v>
      </c>
      <c r="G328" s="33" t="s">
        <v>718</v>
      </c>
      <c r="H328" s="23" t="s">
        <v>92</v>
      </c>
      <c r="I328" s="23" t="s">
        <v>94</v>
      </c>
      <c r="J328" s="23" t="s">
        <v>719</v>
      </c>
      <c r="K328" s="56" t="s">
        <v>13</v>
      </c>
      <c r="L328" s="24" t="str">
        <f>IF(RIGHT(K328,2)="WS", LEFT(K328,LEN(K328)-2),K328)</f>
        <v>FERT</v>
      </c>
      <c r="M328" s="24" t="str">
        <f>INDEX(Active!J:J, MATCH(Spearmans2!L328, Active!F:F,0),1)</f>
        <v>Synthetic Nitrogen Fertilizer Application Mean Rate</v>
      </c>
      <c r="N328" s="24" t="str">
        <f>INDEX(Active!B:B, MATCH(Spearmans2!L328, Active!F:F,0),1)</f>
        <v>Anthropogenic</v>
      </c>
      <c r="O328" s="24" t="str">
        <f>INDEX(Active!K:K, MATCH(Spearmans2!L328, Active!F:F,0),1)</f>
        <v>Mean rate of synthetic nitrogen fertilizer application to agricultural land in kg N/ha/yr, within the AOI</v>
      </c>
      <c r="P328" s="34" t="s">
        <v>226</v>
      </c>
      <c r="Q328" s="24" t="s">
        <v>92</v>
      </c>
      <c r="R328" s="24" t="s">
        <v>227</v>
      </c>
      <c r="S328" s="35">
        <v>0.95615705110772742</v>
      </c>
    </row>
    <row r="329" spans="1:19" x14ac:dyDescent="0.3">
      <c r="A329" s="33" t="s">
        <v>8</v>
      </c>
      <c r="B329" s="23" t="str">
        <f>IF(RIGHT(A329,2)="WS", LEFT(A329,LEN(A329)-2),A329)</f>
        <v>WDRW_LD</v>
      </c>
      <c r="C329" s="23" t="str">
        <f>INDEX(Active!J:J, MATCH(Spearmans2!B329, Active!F:F,0),1)</f>
        <v>Agricultural Fresh Surface-Water Withdraw</v>
      </c>
      <c r="D329" s="23" t="str">
        <f>INDEX(Active!B:B, MATCH(Spearmans2!B329, Active!F:F,0),1)</f>
        <v>Anthropogenic</v>
      </c>
      <c r="E329" s="23" t="str">
        <f>INDEX(Active!D:D, MATCH(Spearmans2!B329, Active!F:F,0),1)</f>
        <v>Agriculture</v>
      </c>
      <c r="F329" s="23" t="str">
        <f>INDEX(Active!K:K, MATCH(Spearmans2!B329, Active!F:F,0),1)</f>
        <v>Total fresh surface-water withdrawals in agricultural land per AOI area (L/day)</v>
      </c>
      <c r="G329" s="33" t="s">
        <v>718</v>
      </c>
      <c r="H329" s="23" t="s">
        <v>92</v>
      </c>
      <c r="I329" s="23" t="s">
        <v>94</v>
      </c>
      <c r="J329" s="23" t="s">
        <v>719</v>
      </c>
      <c r="K329" s="56" t="s">
        <v>11</v>
      </c>
      <c r="L329" s="24" t="str">
        <f>IF(RIGHT(K329,2)="WS", LEFT(K329,LEN(K329)-2),K329)</f>
        <v>CBNF</v>
      </c>
      <c r="M329" s="24" t="str">
        <f>INDEX(Active!J:J, MATCH(Spearmans2!L329, Active!F:F,0),1)</f>
        <v>Cultivated Biological Nitrogen Fixation Mean Rate</v>
      </c>
      <c r="N329" s="24" t="str">
        <f>INDEX(Active!B:B, MATCH(Spearmans2!L329, Active!F:F,0),1)</f>
        <v>Anthropogenic</v>
      </c>
      <c r="O329" s="24" t="str">
        <f>INDEX(Active!K:K, MATCH(Spearmans2!L329, Active!F:F,0),1)</f>
        <v>Mean rate of biological nitrogen fixation from the cultivation of crops in kg N/ha/yr, within AOI</v>
      </c>
      <c r="P329" s="34" t="s">
        <v>168</v>
      </c>
      <c r="Q329" s="24" t="s">
        <v>92</v>
      </c>
      <c r="R329" s="24" t="s">
        <v>169</v>
      </c>
      <c r="S329" s="35">
        <v>0.95656372272446355</v>
      </c>
    </row>
    <row r="330" spans="1:19" s="42" customFormat="1" x14ac:dyDescent="0.3">
      <c r="A330" s="38" t="s">
        <v>8</v>
      </c>
      <c r="B330" s="29" t="str">
        <f>IF(RIGHT(A330,2)="WS", LEFT(A330,LEN(A330)-2),A330)</f>
        <v>WDRW_LD</v>
      </c>
      <c r="C330" s="29" t="str">
        <f>INDEX(Active!J:J, MATCH(Spearmans2!B330, Active!F:F,0),1)</f>
        <v>Agricultural Fresh Surface-Water Withdraw</v>
      </c>
      <c r="D330" s="29" t="str">
        <f>INDEX(Active!B:B, MATCH(Spearmans2!B330, Active!F:F,0),1)</f>
        <v>Anthropogenic</v>
      </c>
      <c r="E330" s="29" t="str">
        <f>INDEX(Active!D:D, MATCH(Spearmans2!B330, Active!F:F,0),1)</f>
        <v>Agriculture</v>
      </c>
      <c r="F330" s="29" t="str">
        <f>INDEX(Active!K:K, MATCH(Spearmans2!B330, Active!F:F,0),1)</f>
        <v>Total fresh surface-water withdrawals in agricultural land per AOI area (L/day)</v>
      </c>
      <c r="G330" s="38" t="s">
        <v>718</v>
      </c>
      <c r="H330" s="29" t="s">
        <v>92</v>
      </c>
      <c r="I330" s="29" t="s">
        <v>94</v>
      </c>
      <c r="J330" s="29" t="s">
        <v>719</v>
      </c>
      <c r="K330" s="57" t="s">
        <v>9</v>
      </c>
      <c r="L330" s="30" t="str">
        <f>IF(RIGHT(K330,2)="WS", LEFT(K330,LEN(K330)-2),K330)</f>
        <v>WATERINPUT</v>
      </c>
      <c r="M330" s="30" t="str">
        <f>INDEX(Active!J:J, MATCH(Spearmans2!L330, Active!F:F,0),1)</f>
        <v>Water Input</v>
      </c>
      <c r="N330" s="30" t="str">
        <f>INDEX(Active!B:B, MATCH(Spearmans2!L330, Active!F:F,0),1)</f>
        <v>Anthropogenic</v>
      </c>
      <c r="O330" s="30" t="str">
        <f>INDEX(Active!K:K, MATCH(Spearmans2!L330, Active!F:F,0),1)</f>
        <v>Water Input (km2/cm): Ratio of the total area of irrigated land to precipitation within AOI</v>
      </c>
      <c r="P330" s="53" t="s">
        <v>713</v>
      </c>
      <c r="Q330" s="30" t="s">
        <v>92</v>
      </c>
      <c r="R330" s="30" t="s">
        <v>714</v>
      </c>
      <c r="S330" s="40">
        <v>0.9719127338814193</v>
      </c>
    </row>
    <row r="331" spans="1:19" s="43" customFormat="1" x14ac:dyDescent="0.3">
      <c r="A331" s="37" t="s">
        <v>5</v>
      </c>
      <c r="B331" s="25" t="str">
        <f>IF(RIGHT(A331,2)="WS", LEFT(A331,LEN(A331)-2),A331)</f>
        <v>WETTEDWIDTH</v>
      </c>
      <c r="C331" s="25" t="str">
        <f>INDEX(Active!J:J, MATCH(Spearmans2!B331, Active!F:F,0),1)</f>
        <v>Predicted Wetted Width</v>
      </c>
      <c r="D331" s="25" t="str">
        <f>INDEX(Active!B:B, MATCH(Spearmans2!B331, Active!F:F,0),1)</f>
        <v>Natural</v>
      </c>
      <c r="E331" s="25" t="str">
        <f>INDEX(Active!D:D, MATCH(Spearmans2!B331, Active!F:F,0),1)</f>
        <v>Other</v>
      </c>
      <c r="F331" s="25" t="str">
        <f>INDEX(Active!K:K, MATCH(Spearmans2!B331, Active!F:F,0),1)</f>
        <v>Predicted wetted width: distance of the waters edge from left to right bank</v>
      </c>
      <c r="G331" s="37" t="s">
        <v>726</v>
      </c>
      <c r="H331" s="25" t="s">
        <v>103</v>
      </c>
      <c r="I331" s="25" t="s">
        <v>123</v>
      </c>
      <c r="J331" s="25" t="s">
        <v>727</v>
      </c>
      <c r="K331" s="55" t="s">
        <v>4</v>
      </c>
      <c r="L331" s="26" t="str">
        <f>IF(RIGHT(K331,2)="WS", LEFT(K331,LEN(K331)-2),K331)</f>
        <v>NANI</v>
      </c>
      <c r="M331" s="26" t="str">
        <f>INDEX(Active!J:J, MATCH(Spearmans2!L331, Active!F:F,0),1)</f>
        <v>Anthropogenic Nitrogen</v>
      </c>
      <c r="N331" s="26" t="str">
        <f>INDEX(Active!B:B, MATCH(Spearmans2!L331, Active!F:F,0),1)</f>
        <v>Anthropogenic</v>
      </c>
      <c r="O331" s="26" t="str">
        <f>INDEX(Active!K:K, MATCH(Spearmans2!L331, Active!F:F,0),1)</f>
        <v>Net Anthropogenic Nitrogen within AOI: farm fertilizer + urban fertilizer + NOx deposition + CBNF + Human and Livestock food - crop N content - livestock N content</v>
      </c>
      <c r="P331" s="52" t="s">
        <v>322</v>
      </c>
      <c r="Q331" s="26" t="s">
        <v>92</v>
      </c>
      <c r="R331" s="26" t="s">
        <v>323</v>
      </c>
      <c r="S331" s="41">
        <v>0.84818721969216482</v>
      </c>
    </row>
    <row r="332" spans="1:19" x14ac:dyDescent="0.3">
      <c r="A332" s="33" t="s">
        <v>5</v>
      </c>
      <c r="B332" s="23" t="str">
        <f>IF(RIGHT(A332,2)="WS", LEFT(A332,LEN(A332)-2),A332)</f>
        <v>WETTEDWIDTH</v>
      </c>
      <c r="C332" s="23" t="str">
        <f>INDEX(Active!J:J, MATCH(Spearmans2!B332, Active!F:F,0),1)</f>
        <v>Predicted Wetted Width</v>
      </c>
      <c r="D332" s="23" t="str">
        <f>INDEX(Active!B:B, MATCH(Spearmans2!B332, Active!F:F,0),1)</f>
        <v>Natural</v>
      </c>
      <c r="E332" s="23" t="str">
        <f>INDEX(Active!D:D, MATCH(Spearmans2!B332, Active!F:F,0),1)</f>
        <v>Other</v>
      </c>
      <c r="F332" s="23" t="str">
        <f>INDEX(Active!K:K, MATCH(Spearmans2!B332, Active!F:F,0),1)</f>
        <v>Predicted wetted width: distance of the waters edge from left to right bank</v>
      </c>
      <c r="G332" s="33" t="s">
        <v>726</v>
      </c>
      <c r="H332" s="23" t="s">
        <v>103</v>
      </c>
      <c r="I332" s="23" t="s">
        <v>123</v>
      </c>
      <c r="J332" s="23" t="s">
        <v>727</v>
      </c>
      <c r="K332" s="56" t="s">
        <v>3</v>
      </c>
      <c r="L332" s="24" t="str">
        <f>IF(RIGHT(K332,2)="WS", LEFT(K332,LEN(K332)-2),K332)</f>
        <v>NSURP</v>
      </c>
      <c r="M332" s="24" t="str">
        <f>INDEX(Active!J:J, MATCH(Spearmans2!L332, Active!F:F,0),1)</f>
        <v>Nitrogen Surplus</v>
      </c>
      <c r="N332" s="24" t="str">
        <f>INDEX(Active!B:B, MATCH(Spearmans2!L332, Active!F:F,0),1)</f>
        <v>Anthropogenic</v>
      </c>
      <c r="O332" s="24" t="str">
        <f>INDEX(Active!K:K, MATCH(Spearmans2!L332, Active!F:F,0),1)</f>
        <v>Nitrogen Surplus (kg N / yr) per AOI - excluding biological N Fixation</v>
      </c>
      <c r="P332" s="34" t="s">
        <v>341</v>
      </c>
      <c r="Q332" s="24" t="s">
        <v>92</v>
      </c>
      <c r="R332" s="24" t="s">
        <v>342</v>
      </c>
      <c r="S332" s="35">
        <v>0.85227939953093124</v>
      </c>
    </row>
    <row r="333" spans="1:19" x14ac:dyDescent="0.3">
      <c r="A333" s="33" t="s">
        <v>5</v>
      </c>
      <c r="B333" s="23" t="str">
        <f>IF(RIGHT(A333,2)="WS", LEFT(A333,LEN(A333)-2),A333)</f>
        <v>WETTEDWIDTH</v>
      </c>
      <c r="C333" s="23" t="str">
        <f>INDEX(Active!J:J, MATCH(Spearmans2!B333, Active!F:F,0),1)</f>
        <v>Predicted Wetted Width</v>
      </c>
      <c r="D333" s="23" t="str">
        <f>INDEX(Active!B:B, MATCH(Spearmans2!B333, Active!F:F,0),1)</f>
        <v>Natural</v>
      </c>
      <c r="E333" s="23" t="str">
        <f>INDEX(Active!D:D, MATCH(Spearmans2!B333, Active!F:F,0),1)</f>
        <v>Other</v>
      </c>
      <c r="F333" s="23" t="str">
        <f>INDEX(Active!K:K, MATCH(Spearmans2!B333, Active!F:F,0),1)</f>
        <v>Predicted wetted width: distance of the waters edge from left to right bank</v>
      </c>
      <c r="G333" s="33" t="s">
        <v>726</v>
      </c>
      <c r="H333" s="23" t="s">
        <v>103</v>
      </c>
      <c r="I333" s="23" t="s">
        <v>123</v>
      </c>
      <c r="J333" s="23" t="s">
        <v>727</v>
      </c>
      <c r="K333" s="56" t="s">
        <v>7</v>
      </c>
      <c r="L333" s="24" t="str">
        <f>IF(RIGHT(K333,2)="WS", LEFT(K333,LEN(K333)-2),K333)</f>
        <v>BANKFULLDEPTH</v>
      </c>
      <c r="M333" s="24" t="str">
        <f>INDEX(Active!J:J, MATCH(Spearmans2!L333, Active!F:F,0),1)</f>
        <v>Predicted Bankfull Depth</v>
      </c>
      <c r="N333" s="24" t="str">
        <f>INDEX(Active!B:B, MATCH(Spearmans2!L333, Active!F:F,0),1)</f>
        <v>Natural</v>
      </c>
      <c r="O333" s="24" t="str">
        <f>INDEX(Active!K:K, MATCH(Spearmans2!L333, Active!F:F,0),1)</f>
        <v>Predicted bankfull depth: thalweg depth plus bankfull height, which is the height from the water surface to the bankfull stage</v>
      </c>
      <c r="P333" s="34" t="s">
        <v>125</v>
      </c>
      <c r="Q333" s="24" t="s">
        <v>103</v>
      </c>
      <c r="R333" s="24" t="s">
        <v>126</v>
      </c>
      <c r="S333" s="35">
        <v>0.94009984678118441</v>
      </c>
    </row>
    <row r="334" spans="1:19" x14ac:dyDescent="0.3">
      <c r="A334" s="33" t="s">
        <v>5</v>
      </c>
      <c r="B334" s="23" t="str">
        <f>IF(RIGHT(A334,2)="WS", LEFT(A334,LEN(A334)-2),A334)</f>
        <v>WETTEDWIDTH</v>
      </c>
      <c r="C334" s="23" t="str">
        <f>INDEX(Active!J:J, MATCH(Spearmans2!B334, Active!F:F,0),1)</f>
        <v>Predicted Wetted Width</v>
      </c>
      <c r="D334" s="23" t="str">
        <f>INDEX(Active!B:B, MATCH(Spearmans2!B334, Active!F:F,0),1)</f>
        <v>Natural</v>
      </c>
      <c r="E334" s="23" t="str">
        <f>INDEX(Active!D:D, MATCH(Spearmans2!B334, Active!F:F,0),1)</f>
        <v>Other</v>
      </c>
      <c r="F334" s="23" t="str">
        <f>INDEX(Active!K:K, MATCH(Spearmans2!B334, Active!F:F,0),1)</f>
        <v>Predicted wetted width: distance of the waters edge from left to right bank</v>
      </c>
      <c r="G334" s="33" t="s">
        <v>726</v>
      </c>
      <c r="H334" s="23" t="s">
        <v>103</v>
      </c>
      <c r="I334" s="23" t="s">
        <v>123</v>
      </c>
      <c r="J334" s="23" t="s">
        <v>727</v>
      </c>
      <c r="K334" s="56" t="s">
        <v>763</v>
      </c>
      <c r="L334" s="24" t="str">
        <f>IF(RIGHT(K334,2)="WS", LEFT(K334,LEN(K334)-2),K334)</f>
        <v>THALWEGDEPTH</v>
      </c>
      <c r="M334" s="24" t="e">
        <f>INDEX(Active!J:J, MATCH(Spearmans2!L334, Active!F:F,0),1)</f>
        <v>#N/A</v>
      </c>
      <c r="N334" s="24" t="e">
        <f>INDEX(Active!B:B, MATCH(Spearmans2!L334, Active!F:F,0),1)</f>
        <v>#N/A</v>
      </c>
      <c r="O334" s="24" t="e">
        <f>INDEX(Active!K:K, MATCH(Spearmans2!L334, Active!F:F,0),1)</f>
        <v>#N/A</v>
      </c>
      <c r="P334" s="34" t="e">
        <v>#N/A</v>
      </c>
      <c r="Q334" s="24" t="e">
        <v>#N/A</v>
      </c>
      <c r="R334" s="24" t="e">
        <v>#N/A</v>
      </c>
      <c r="S334" s="35">
        <v>0.96508851159221876</v>
      </c>
    </row>
    <row r="335" spans="1:19" s="42" customFormat="1" x14ac:dyDescent="0.3">
      <c r="A335" s="38" t="s">
        <v>5</v>
      </c>
      <c r="B335" s="29" t="str">
        <f>IF(RIGHT(A335,2)="WS", LEFT(A335,LEN(A335)-2),A335)</f>
        <v>WETTEDWIDTH</v>
      </c>
      <c r="C335" s="29" t="str">
        <f>INDEX(Active!J:J, MATCH(Spearmans2!B335, Active!F:F,0),1)</f>
        <v>Predicted Wetted Width</v>
      </c>
      <c r="D335" s="29" t="str">
        <f>INDEX(Active!B:B, MATCH(Spearmans2!B335, Active!F:F,0),1)</f>
        <v>Natural</v>
      </c>
      <c r="E335" s="29" t="str">
        <f>INDEX(Active!D:D, MATCH(Spearmans2!B335, Active!F:F,0),1)</f>
        <v>Other</v>
      </c>
      <c r="F335" s="29" t="str">
        <f>INDEX(Active!K:K, MATCH(Spearmans2!B335, Active!F:F,0),1)</f>
        <v>Predicted wetted width: distance of the waters edge from left to right bank</v>
      </c>
      <c r="G335" s="38" t="s">
        <v>726</v>
      </c>
      <c r="H335" s="29" t="s">
        <v>103</v>
      </c>
      <c r="I335" s="29" t="s">
        <v>123</v>
      </c>
      <c r="J335" s="29" t="s">
        <v>727</v>
      </c>
      <c r="K335" s="57" t="s">
        <v>6</v>
      </c>
      <c r="L335" s="30" t="str">
        <f>IF(RIGHT(K335,2)="WS", LEFT(K335,LEN(K335)-2),K335)</f>
        <v>BANKFULLWIDTH</v>
      </c>
      <c r="M335" s="30" t="str">
        <f>INDEX(Active!J:J, MATCH(Spearmans2!L335, Active!F:F,0),1)</f>
        <v>Predicted Bankfull Width</v>
      </c>
      <c r="N335" s="30" t="str">
        <f>INDEX(Active!B:B, MATCH(Spearmans2!L335, Active!F:F,0),1)</f>
        <v>Natural</v>
      </c>
      <c r="O335" s="30" t="str">
        <f>INDEX(Active!K:K, MATCH(Spearmans2!L335, Active!F:F,0),1)</f>
        <v>Predicted bankfull width: distance from left to right bank at bankfull stage where the potential water height would spill outside of the channel and into the floodplain</v>
      </c>
      <c r="P335" s="53" t="s">
        <v>131</v>
      </c>
      <c r="Q335" s="30" t="s">
        <v>103</v>
      </c>
      <c r="R335" s="30" t="s">
        <v>132</v>
      </c>
      <c r="S335" s="40">
        <v>0.99082892913269294</v>
      </c>
    </row>
    <row r="336" spans="1:19" s="44" customFormat="1" x14ac:dyDescent="0.3">
      <c r="A336" s="39" t="s">
        <v>66</v>
      </c>
      <c r="B336" s="16" t="str">
        <f>IF(RIGHT(A336,2)="WS", LEFT(A336,LEN(A336)-2),A336)</f>
        <v>WWTPALLDENS</v>
      </c>
      <c r="C336" s="16" t="str">
        <f>INDEX(Active!J:J, MATCH(Spearmans2!B336, Active!F:F,0),1)</f>
        <v>All Wastewater Treatment Density</v>
      </c>
      <c r="D336" s="16" t="str">
        <f>INDEX(Active!B:B, MATCH(Spearmans2!B336, Active!F:F,0),1)</f>
        <v>Anthropogenic</v>
      </c>
      <c r="E336" s="16" t="str">
        <f>INDEX(Active!D:D, MATCH(Spearmans2!B336, Active!F:F,0),1)</f>
        <v>Urban</v>
      </c>
      <c r="F336" s="16" t="str">
        <f>INDEX(Active!K:K, MATCH(Spearmans2!B336, Active!F:F,0),1)</f>
        <v>Density (number/ km2) of all wastewater treatment plants per AOI</v>
      </c>
      <c r="G336" s="39" t="s">
        <v>743</v>
      </c>
      <c r="H336" s="16" t="s">
        <v>92</v>
      </c>
      <c r="I336" s="16" t="s">
        <v>232</v>
      </c>
      <c r="J336" s="16" t="s">
        <v>744</v>
      </c>
      <c r="K336" s="58" t="s">
        <v>65</v>
      </c>
      <c r="L336" s="17" t="str">
        <f>IF(RIGHT(K336,2)="WS", LEFT(K336,LEN(K336)-2),K336)</f>
        <v>WWTPMINORDENS</v>
      </c>
      <c r="M336" s="17" t="str">
        <f>INDEX(Active!J:J, MATCH(Spearmans2!L336, Active!F:F,0),1)</f>
        <v>Minor Wastewater Treatment Density</v>
      </c>
      <c r="N336" s="17" t="str">
        <f>INDEX(Active!B:B, MATCH(Spearmans2!L336, Active!F:F,0),1)</f>
        <v>Anthropogenic</v>
      </c>
      <c r="O336" s="17" t="str">
        <f>INDEX(Active!K:K, MATCH(Spearmans2!L336, Active!F:F,0),1)</f>
        <v>Density (number/ km2) of minor wastewater treatment plants per AOI</v>
      </c>
      <c r="P336" s="45" t="s">
        <v>753</v>
      </c>
      <c r="Q336" s="17" t="s">
        <v>92</v>
      </c>
      <c r="R336" s="17" t="s">
        <v>754</v>
      </c>
      <c r="S336" s="46">
        <v>0.99999765808419561</v>
      </c>
    </row>
    <row r="337" spans="1:19" x14ac:dyDescent="0.3">
      <c r="A337" s="33" t="s">
        <v>65</v>
      </c>
      <c r="B337" s="23" t="str">
        <f>IF(RIGHT(A337,2)="WS", LEFT(A337,LEN(A337)-2),A337)</f>
        <v>WWTPMINORDENS</v>
      </c>
      <c r="C337" s="23" t="str">
        <f>INDEX(Active!J:J, MATCH(Spearmans2!B337, Active!F:F,0),1)</f>
        <v>Minor Wastewater Treatment Density</v>
      </c>
      <c r="D337" s="23" t="str">
        <f>INDEX(Active!B:B, MATCH(Spearmans2!B337, Active!F:F,0),1)</f>
        <v>Anthropogenic</v>
      </c>
      <c r="E337" s="23" t="str">
        <f>INDEX(Active!D:D, MATCH(Spearmans2!B337, Active!F:F,0),1)</f>
        <v>Urban</v>
      </c>
      <c r="F337" s="23" t="str">
        <f>INDEX(Active!K:K, MATCH(Spearmans2!B337, Active!F:F,0),1)</f>
        <v>Density (number/ km2) of minor wastewater treatment plants per AOI</v>
      </c>
      <c r="G337" s="33" t="s">
        <v>753</v>
      </c>
      <c r="H337" s="23" t="s">
        <v>92</v>
      </c>
      <c r="I337" s="23" t="s">
        <v>232</v>
      </c>
      <c r="J337" s="23" t="s">
        <v>754</v>
      </c>
      <c r="K337" s="56" t="s">
        <v>66</v>
      </c>
      <c r="L337" s="24" t="str">
        <f>IF(RIGHT(K337,2)="WS", LEFT(K337,LEN(K337)-2),K337)</f>
        <v>WWTPALLDENS</v>
      </c>
      <c r="M337" s="24" t="str">
        <f>INDEX(Active!J:J, MATCH(Spearmans2!L337, Active!F:F,0),1)</f>
        <v>All Wastewater Treatment Density</v>
      </c>
      <c r="N337" s="24" t="str">
        <f>INDEX(Active!B:B, MATCH(Spearmans2!L337, Active!F:F,0),1)</f>
        <v>Anthropogenic</v>
      </c>
      <c r="O337" s="24" t="str">
        <f>INDEX(Active!K:K, MATCH(Spearmans2!L337, Active!F:F,0),1)</f>
        <v>Density (number/ km2) of all wastewater treatment plants per AOI</v>
      </c>
      <c r="P337" s="34" t="s">
        <v>743</v>
      </c>
      <c r="Q337" s="24" t="s">
        <v>92</v>
      </c>
      <c r="R337" s="24" t="s">
        <v>744</v>
      </c>
      <c r="S337" s="35">
        <v>0.99999765808419561</v>
      </c>
    </row>
  </sheetData>
  <autoFilter ref="A1:S319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2C43-7A22-461A-9209-3F982A8A6EE3}">
  <dimension ref="A1:E80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10</v>
      </c>
      <c r="E2" t="str">
        <f>CHAR(34)&amp;_xlfn.TEXTJOIN(""",""", TRUE, A:A)&amp;CHAR(34)</f>
        <v>"rowname","AGKFFACTWS","AL2O3WS","BANKFULLDEPTH","BANKFULLWIDTH","BFIWS","CAOWS","CBNFWS","CLAYWS","CONNWS","DAMDENSWS","DAMNIDSTORWS","DAMNRMSTORWS","ELEVWS","FE2O3WS","FERTWS","HABTWS","HUDEN2010WS","ICI","INORGNWETDEP2008WS","IWI","K2OWS","MANUREWS","MAST2008","MGOWS","MWST2008","NA2OWS","NABD_DENSWS","NABD_NIDSTORWS","NABD_NRMSTORWS","NANIWS","NH42008WS","NO32008WS","NSURPWS","P2O5WS","PCT_EROD","PCTAGSLPHIGH2001WS","PCTAGSLPMID2001WS","PCTBURNAREA2002WS","PCTDECID2001WS","PCTFIRE2002WS","PCTHAY2001WS","PCTHIGHSEV2002WS","PCTIMP2001WS","PCTIMPSLPHIGH2001WS","PCTIMPSLPMID2001WS","PCTLOWSEV2002WS","PCTMODSEV2002WS","PCTMXFST2001WS","PCTNONCARBRESIDWS","PCTSILICICWS","PCTUNDSEV2002WS","PCTURBLO2001WS","PCTURBMD2001WS","PERMWS","POPDEN2010WS","PRECIP_MINUS_EVTWS","PRECIP2008WS","PRECIP8110WS","PRECIP9120WS","RUNOFFWS","SANDWS","SEDWS","SIO2WS","SN2008WS","SW_FLUXWS","TEMPWS","THALWEGDEPTH","TMAX8110WS","TMAX9120WS","TMEAN2008WS","TMEAN8110WS","TMEAN9120WS","TMIN8110WS","TMIN9120WS","WATERINPUTWS","WDRW_LDWS","WETTEDWIDTH","WWTPALLDENSWS","WWTPMINORDENSWS"</v>
      </c>
    </row>
    <row r="3" spans="1:5" x14ac:dyDescent="0.3">
      <c r="A3" t="s">
        <v>53</v>
      </c>
      <c r="E3" t="s">
        <v>764</v>
      </c>
    </row>
    <row r="4" spans="1:5" x14ac:dyDescent="0.3">
      <c r="A4" t="s">
        <v>7</v>
      </c>
    </row>
    <row r="5" spans="1:5" x14ac:dyDescent="0.3">
      <c r="A5" t="s">
        <v>6</v>
      </c>
      <c r="E5" t="str">
        <f>_xlfn.TEXTJOIN(", ", TRUE, A:A)</f>
        <v>rowname, AGKFFACTWS, AL2O3WS, BANKFULLDEPTH, BANKFULLWIDTH, BFIWS, CAOWS, CBNFWS, CLAYWS, CONNWS, DAMDENSWS, DAMNIDSTORWS, DAMNRMSTORWS, ELEVWS, FE2O3WS, FERTWS, HABTWS, HUDEN2010WS, ICI, INORGNWETDEP2008WS, IWI, K2OWS, MANUREWS, MAST2008, MGOWS, MWST2008, NA2OWS, NABD_DENSWS, NABD_NIDSTORWS, NABD_NRMSTORWS, NANIWS, NH42008WS, NO32008WS, NSURPWS, P2O5WS, PCT_EROD, PCTAGSLPHIGH2001WS, PCTAGSLPMID2001WS, PCTBURNAREA2002WS, PCTDECID2001WS, PCTFIRE2002WS, PCTHAY2001WS, PCTHIGHSEV2002WS, PCTIMP2001WS, PCTIMPSLPHIGH2001WS, PCTIMPSLPMID2001WS, PCTLOWSEV2002WS, PCTMODSEV2002WS, PCTMXFST2001WS, PCTNONCARBRESIDWS, PCTSILICICWS, PCTUNDSEV2002WS, PCTURBLO2001WS, PCTURBMD2001WS, PERMWS, POPDEN2010WS, PRECIP_MINUS_EVTWS, PRECIP2008WS, PRECIP8110WS, PRECIP9120WS, RUNOFFWS, SANDWS, SEDWS, SIO2WS, SN2008WS, SW_FLUXWS, TEMPWS, THALWEGDEPTH, TMAX8110WS, TMAX9120WS, TMEAN2008WS, TMEAN8110WS, TMEAN9120WS, TMIN8110WS, TMIN9120WS, WATERINPUTWS, WDRW_LDWS, WETTEDWIDTH, WWTPALLDENSWS, WWTPMINORDENSWS</v>
      </c>
    </row>
    <row r="6" spans="1:5" x14ac:dyDescent="0.3">
      <c r="A6" t="s">
        <v>34</v>
      </c>
      <c r="E6" t="s">
        <v>765</v>
      </c>
    </row>
    <row r="7" spans="1:5" x14ac:dyDescent="0.3">
      <c r="A7" t="s">
        <v>57</v>
      </c>
    </row>
    <row r="8" spans="1:5" x14ac:dyDescent="0.3">
      <c r="A8" t="s">
        <v>11</v>
      </c>
    </row>
    <row r="9" spans="1:5" x14ac:dyDescent="0.3">
      <c r="A9" t="s">
        <v>59</v>
      </c>
    </row>
    <row r="10" spans="1:5" x14ac:dyDescent="0.3">
      <c r="A10" t="s">
        <v>45</v>
      </c>
    </row>
    <row r="11" spans="1:5" x14ac:dyDescent="0.3">
      <c r="A11" t="s">
        <v>41</v>
      </c>
    </row>
    <row r="12" spans="1:5" x14ac:dyDescent="0.3">
      <c r="A12" t="s">
        <v>42</v>
      </c>
    </row>
    <row r="13" spans="1:5" x14ac:dyDescent="0.3">
      <c r="A13" t="s">
        <v>38</v>
      </c>
    </row>
    <row r="14" spans="1:5" x14ac:dyDescent="0.3">
      <c r="A14" t="s">
        <v>35</v>
      </c>
    </row>
    <row r="15" spans="1:5" x14ac:dyDescent="0.3">
      <c r="A15" t="s">
        <v>56</v>
      </c>
    </row>
    <row r="16" spans="1:5" x14ac:dyDescent="0.3">
      <c r="A16" t="s">
        <v>13</v>
      </c>
    </row>
    <row r="17" spans="1:1" x14ac:dyDescent="0.3">
      <c r="A17" t="s">
        <v>43</v>
      </c>
    </row>
    <row r="18" spans="1:1" x14ac:dyDescent="0.3">
      <c r="A18" t="s">
        <v>67</v>
      </c>
    </row>
    <row r="19" spans="1:1" x14ac:dyDescent="0.3">
      <c r="A19" t="s">
        <v>75</v>
      </c>
    </row>
    <row r="20" spans="1:1" x14ac:dyDescent="0.3">
      <c r="A20" t="s">
        <v>30</v>
      </c>
    </row>
    <row r="21" spans="1:1" x14ac:dyDescent="0.3">
      <c r="A21" t="s">
        <v>76</v>
      </c>
    </row>
    <row r="22" spans="1:1" x14ac:dyDescent="0.3">
      <c r="A22" t="s">
        <v>55</v>
      </c>
    </row>
    <row r="23" spans="1:1" x14ac:dyDescent="0.3">
      <c r="A23" t="s">
        <v>12</v>
      </c>
    </row>
    <row r="24" spans="1:1" x14ac:dyDescent="0.3">
      <c r="A24" t="s">
        <v>26</v>
      </c>
    </row>
    <row r="25" spans="1:1" x14ac:dyDescent="0.3">
      <c r="A25" t="s">
        <v>58</v>
      </c>
    </row>
    <row r="26" spans="1:1" x14ac:dyDescent="0.3">
      <c r="A26" t="s">
        <v>36</v>
      </c>
    </row>
    <row r="27" spans="1:1" x14ac:dyDescent="0.3">
      <c r="A27" t="s">
        <v>51</v>
      </c>
    </row>
    <row r="28" spans="1:1" x14ac:dyDescent="0.3">
      <c r="A28" t="s">
        <v>37</v>
      </c>
    </row>
    <row r="29" spans="1:1" x14ac:dyDescent="0.3">
      <c r="A29" t="s">
        <v>40</v>
      </c>
    </row>
    <row r="30" spans="1:1" x14ac:dyDescent="0.3">
      <c r="A30" t="s">
        <v>39</v>
      </c>
    </row>
    <row r="31" spans="1:1" x14ac:dyDescent="0.3">
      <c r="A31" t="s">
        <v>4</v>
      </c>
    </row>
    <row r="32" spans="1:1" x14ac:dyDescent="0.3">
      <c r="A32" t="s">
        <v>31</v>
      </c>
    </row>
    <row r="33" spans="1:1" x14ac:dyDescent="0.3">
      <c r="A33" t="s">
        <v>28</v>
      </c>
    </row>
    <row r="34" spans="1:1" x14ac:dyDescent="0.3">
      <c r="A34" t="s">
        <v>3</v>
      </c>
    </row>
    <row r="35" spans="1:1" x14ac:dyDescent="0.3">
      <c r="A35" t="s">
        <v>52</v>
      </c>
    </row>
    <row r="36" spans="1:1" x14ac:dyDescent="0.3">
      <c r="A36" t="s">
        <v>759</v>
      </c>
    </row>
    <row r="37" spans="1:1" x14ac:dyDescent="0.3">
      <c r="A37" t="s">
        <v>15</v>
      </c>
    </row>
    <row r="38" spans="1:1" x14ac:dyDescent="0.3">
      <c r="A38" t="s">
        <v>14</v>
      </c>
    </row>
    <row r="39" spans="1:1" x14ac:dyDescent="0.3">
      <c r="A39" t="s">
        <v>69</v>
      </c>
    </row>
    <row r="40" spans="1:1" x14ac:dyDescent="0.3">
      <c r="A40" t="s">
        <v>49</v>
      </c>
    </row>
    <row r="41" spans="1:1" x14ac:dyDescent="0.3">
      <c r="A41" t="s">
        <v>74</v>
      </c>
    </row>
    <row r="42" spans="1:1" x14ac:dyDescent="0.3">
      <c r="A42" t="s">
        <v>16</v>
      </c>
    </row>
    <row r="43" spans="1:1" x14ac:dyDescent="0.3">
      <c r="A43" t="s">
        <v>73</v>
      </c>
    </row>
    <row r="44" spans="1:1" x14ac:dyDescent="0.3">
      <c r="A44" t="s">
        <v>62</v>
      </c>
    </row>
    <row r="45" spans="1:1" x14ac:dyDescent="0.3">
      <c r="A45" t="s">
        <v>63</v>
      </c>
    </row>
    <row r="46" spans="1:1" x14ac:dyDescent="0.3">
      <c r="A46" t="s">
        <v>64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50</v>
      </c>
    </row>
    <row r="50" spans="1:1" x14ac:dyDescent="0.3">
      <c r="A50" t="s">
        <v>760</v>
      </c>
    </row>
    <row r="51" spans="1:1" x14ac:dyDescent="0.3">
      <c r="A51" t="s">
        <v>761</v>
      </c>
    </row>
    <row r="52" spans="1:1" x14ac:dyDescent="0.3">
      <c r="A52" t="s">
        <v>70</v>
      </c>
    </row>
    <row r="53" spans="1:1" x14ac:dyDescent="0.3">
      <c r="A53" t="s">
        <v>47</v>
      </c>
    </row>
    <row r="54" spans="1:1" x14ac:dyDescent="0.3">
      <c r="A54" t="s">
        <v>48</v>
      </c>
    </row>
    <row r="55" spans="1:1" x14ac:dyDescent="0.3">
      <c r="A55" t="s">
        <v>60</v>
      </c>
    </row>
    <row r="56" spans="1:1" x14ac:dyDescent="0.3">
      <c r="A56" t="s">
        <v>68</v>
      </c>
    </row>
    <row r="57" spans="1:1" x14ac:dyDescent="0.3">
      <c r="A57" t="s">
        <v>762</v>
      </c>
    </row>
    <row r="58" spans="1:1" x14ac:dyDescent="0.3">
      <c r="A58" t="s">
        <v>29</v>
      </c>
    </row>
    <row r="59" spans="1:1" x14ac:dyDescent="0.3">
      <c r="A59" t="s">
        <v>27</v>
      </c>
    </row>
    <row r="60" spans="1:1" x14ac:dyDescent="0.3">
      <c r="A60" t="s">
        <v>33</v>
      </c>
    </row>
    <row r="61" spans="1:1" x14ac:dyDescent="0.3">
      <c r="A61" t="s">
        <v>18</v>
      </c>
    </row>
    <row r="62" spans="1:1" x14ac:dyDescent="0.3">
      <c r="A62" t="s">
        <v>61</v>
      </c>
    </row>
    <row r="63" spans="1:1" x14ac:dyDescent="0.3">
      <c r="A63" t="s">
        <v>44</v>
      </c>
    </row>
    <row r="64" spans="1:1" x14ac:dyDescent="0.3">
      <c r="A64" t="s">
        <v>54</v>
      </c>
    </row>
    <row r="65" spans="1:1" x14ac:dyDescent="0.3">
      <c r="A65" t="s">
        <v>32</v>
      </c>
    </row>
    <row r="66" spans="1:1" x14ac:dyDescent="0.3">
      <c r="A66" t="s">
        <v>17</v>
      </c>
    </row>
    <row r="67" spans="1:1" x14ac:dyDescent="0.3">
      <c r="A67" t="s">
        <v>46</v>
      </c>
    </row>
    <row r="68" spans="1:1" x14ac:dyDescent="0.3">
      <c r="A68" t="s">
        <v>763</v>
      </c>
    </row>
    <row r="69" spans="1:1" x14ac:dyDescent="0.3">
      <c r="A69" t="s">
        <v>19</v>
      </c>
    </row>
    <row r="70" spans="1:1" x14ac:dyDescent="0.3">
      <c r="A70" t="s">
        <v>23</v>
      </c>
    </row>
    <row r="71" spans="1:1" x14ac:dyDescent="0.3">
      <c r="A71" t="s">
        <v>22</v>
      </c>
    </row>
    <row r="72" spans="1:1" x14ac:dyDescent="0.3">
      <c r="A72" t="s">
        <v>20</v>
      </c>
    </row>
    <row r="73" spans="1:1" x14ac:dyDescent="0.3">
      <c r="A73" t="s">
        <v>24</v>
      </c>
    </row>
    <row r="74" spans="1:1" x14ac:dyDescent="0.3">
      <c r="A74" t="s">
        <v>21</v>
      </c>
    </row>
    <row r="75" spans="1:1" x14ac:dyDescent="0.3">
      <c r="A75" t="s">
        <v>25</v>
      </c>
    </row>
    <row r="76" spans="1:1" x14ac:dyDescent="0.3">
      <c r="A76" t="s">
        <v>9</v>
      </c>
    </row>
    <row r="77" spans="1:1" x14ac:dyDescent="0.3">
      <c r="A77" t="s">
        <v>8</v>
      </c>
    </row>
    <row r="78" spans="1:1" x14ac:dyDescent="0.3">
      <c r="A78" t="s">
        <v>5</v>
      </c>
    </row>
    <row r="79" spans="1:1" x14ac:dyDescent="0.3">
      <c r="A79" t="s">
        <v>66</v>
      </c>
    </row>
    <row r="80" spans="1:1" x14ac:dyDescent="0.3">
      <c r="A80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AC9-FA1D-4D1A-91F8-F15A33BEA6CC}">
  <sheetPr>
    <tabColor rgb="FF92D050"/>
  </sheetPr>
  <dimension ref="A1:N147"/>
  <sheetViews>
    <sheetView zoomScaleNormal="100" workbookViewId="0">
      <pane ySplit="1" topLeftCell="A97" activePane="bottomLeft" state="frozen"/>
      <selection pane="bottomLeft" activeCell="A110" sqref="A110"/>
    </sheetView>
  </sheetViews>
  <sheetFormatPr defaultRowHeight="14.4" x14ac:dyDescent="0.3"/>
  <cols>
    <col min="1" max="1" width="8.88671875" style="5"/>
    <col min="2" max="2" width="14.44140625" style="6" bestFit="1" customWidth="1"/>
    <col min="3" max="3" width="16.44140625" style="7" bestFit="1" customWidth="1"/>
    <col min="4" max="4" width="18" customWidth="1"/>
    <col min="5" max="5" width="24.33203125" customWidth="1"/>
    <col min="6" max="6" width="22" bestFit="1" customWidth="1"/>
    <col min="7" max="7" width="22" customWidth="1"/>
    <col min="8" max="8" width="12" customWidth="1"/>
    <col min="9" max="9" width="7.5546875" customWidth="1"/>
    <col min="10" max="10" width="44.109375" customWidth="1"/>
    <col min="11" max="11" width="49.88671875" customWidth="1"/>
    <col min="12" max="12" width="7.44140625" customWidth="1"/>
    <col min="14" max="14" width="35.44140625" bestFit="1" customWidth="1"/>
  </cols>
  <sheetData>
    <row r="1" spans="1:14" s="1" customFormat="1" ht="31.35" customHeight="1" x14ac:dyDescent="0.3">
      <c r="A1" s="1" t="s">
        <v>77</v>
      </c>
      <c r="B1" s="2" t="s">
        <v>78</v>
      </c>
      <c r="C1" s="3" t="s">
        <v>79</v>
      </c>
      <c r="D1" s="1" t="s">
        <v>80</v>
      </c>
      <c r="E1" s="1" t="s">
        <v>81</v>
      </c>
      <c r="F1" s="4" t="s">
        <v>82</v>
      </c>
      <c r="G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4" x14ac:dyDescent="0.3">
      <c r="A2" s="5" t="s">
        <v>91</v>
      </c>
      <c r="B2" s="6" t="s">
        <v>92</v>
      </c>
      <c r="C2" s="7" t="s">
        <v>93</v>
      </c>
      <c r="D2" t="s">
        <v>94</v>
      </c>
      <c r="E2" t="s">
        <v>95</v>
      </c>
      <c r="F2" s="8" t="s">
        <v>96</v>
      </c>
      <c r="H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</row>
    <row r="3" spans="1:14" x14ac:dyDescent="0.3">
      <c r="A3" s="5" t="s">
        <v>91</v>
      </c>
      <c r="B3" s="6" t="s">
        <v>103</v>
      </c>
      <c r="C3" s="7" t="s">
        <v>103</v>
      </c>
      <c r="D3" t="s">
        <v>104</v>
      </c>
      <c r="E3" t="s">
        <v>105</v>
      </c>
      <c r="F3" s="8" t="s">
        <v>106</v>
      </c>
      <c r="H3" t="s">
        <v>97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</row>
    <row r="4" spans="1:14" x14ac:dyDescent="0.3">
      <c r="A4" s="5" t="s">
        <v>112</v>
      </c>
      <c r="B4" s="6" t="s">
        <v>113</v>
      </c>
      <c r="C4" s="7" t="s">
        <v>113</v>
      </c>
      <c r="D4" t="s">
        <v>114</v>
      </c>
      <c r="E4" t="s">
        <v>115</v>
      </c>
      <c r="F4" s="9" t="s">
        <v>116</v>
      </c>
      <c r="G4" s="10"/>
      <c r="H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</row>
    <row r="5" spans="1:14" x14ac:dyDescent="0.3">
      <c r="A5" s="5" t="s">
        <v>91</v>
      </c>
      <c r="B5" s="6" t="s">
        <v>103</v>
      </c>
      <c r="C5" s="7" t="s">
        <v>103</v>
      </c>
      <c r="D5" t="s">
        <v>123</v>
      </c>
      <c r="E5" t="s">
        <v>124</v>
      </c>
      <c r="F5" s="8" t="s">
        <v>124</v>
      </c>
      <c r="H5" t="s">
        <v>123</v>
      </c>
      <c r="J5" t="s">
        <v>125</v>
      </c>
      <c r="K5" t="s">
        <v>126</v>
      </c>
      <c r="L5" t="s">
        <v>127</v>
      </c>
      <c r="M5" t="s">
        <v>128</v>
      </c>
      <c r="N5" t="s">
        <v>129</v>
      </c>
    </row>
    <row r="6" spans="1:14" x14ac:dyDescent="0.3">
      <c r="A6" s="5" t="s">
        <v>91</v>
      </c>
      <c r="B6" s="6" t="s">
        <v>103</v>
      </c>
      <c r="C6" s="7" t="s">
        <v>103</v>
      </c>
      <c r="D6" t="s">
        <v>123</v>
      </c>
      <c r="E6" t="s">
        <v>130</v>
      </c>
      <c r="F6" s="8" t="s">
        <v>130</v>
      </c>
      <c r="H6" t="s">
        <v>123</v>
      </c>
      <c r="J6" t="s">
        <v>131</v>
      </c>
      <c r="K6" t="s">
        <v>132</v>
      </c>
      <c r="L6" t="s">
        <v>127</v>
      </c>
      <c r="M6" t="s">
        <v>128</v>
      </c>
      <c r="N6" t="s">
        <v>129</v>
      </c>
    </row>
    <row r="7" spans="1:14" x14ac:dyDescent="0.3">
      <c r="A7" s="5" t="s">
        <v>91</v>
      </c>
      <c r="B7" s="6" t="s">
        <v>103</v>
      </c>
      <c r="C7" s="7" t="s">
        <v>133</v>
      </c>
      <c r="D7" t="s">
        <v>134</v>
      </c>
      <c r="E7" t="s">
        <v>135</v>
      </c>
      <c r="F7" s="8" t="s">
        <v>136</v>
      </c>
      <c r="H7" t="s">
        <v>97</v>
      </c>
      <c r="J7" t="s">
        <v>137</v>
      </c>
      <c r="K7" t="s">
        <v>138</v>
      </c>
      <c r="L7" t="s">
        <v>109</v>
      </c>
      <c r="M7" t="s">
        <v>139</v>
      </c>
      <c r="N7" t="s">
        <v>137</v>
      </c>
    </row>
    <row r="8" spans="1:14" x14ac:dyDescent="0.3">
      <c r="A8" s="5" t="s">
        <v>91</v>
      </c>
      <c r="B8" s="6" t="s">
        <v>92</v>
      </c>
      <c r="C8" s="7" t="s">
        <v>92</v>
      </c>
      <c r="D8" t="s">
        <v>94</v>
      </c>
      <c r="E8" t="s">
        <v>140</v>
      </c>
      <c r="F8" s="8" t="s">
        <v>141</v>
      </c>
      <c r="H8" t="s">
        <v>97</v>
      </c>
      <c r="J8" t="s">
        <v>142</v>
      </c>
      <c r="K8" t="s">
        <v>143</v>
      </c>
      <c r="L8" t="s">
        <v>144</v>
      </c>
      <c r="M8" t="s">
        <v>145</v>
      </c>
      <c r="N8" t="s">
        <v>142</v>
      </c>
    </row>
    <row r="9" spans="1:14" x14ac:dyDescent="0.3">
      <c r="A9" s="5" t="s">
        <v>91</v>
      </c>
      <c r="B9" s="6" t="s">
        <v>103</v>
      </c>
      <c r="C9" s="7" t="s">
        <v>103</v>
      </c>
      <c r="D9" t="s">
        <v>104</v>
      </c>
      <c r="E9" t="s">
        <v>146</v>
      </c>
      <c r="F9" s="8" t="s">
        <v>147</v>
      </c>
      <c r="H9" t="s">
        <v>97</v>
      </c>
      <c r="J9" t="s">
        <v>148</v>
      </c>
      <c r="K9" t="s">
        <v>149</v>
      </c>
      <c r="L9" t="s">
        <v>109</v>
      </c>
      <c r="M9" t="s">
        <v>110</v>
      </c>
      <c r="N9" t="s">
        <v>111</v>
      </c>
    </row>
    <row r="10" spans="1:14" x14ac:dyDescent="0.3">
      <c r="A10" s="5" t="s">
        <v>112</v>
      </c>
      <c r="B10" s="6" t="s">
        <v>113</v>
      </c>
      <c r="C10" s="7" t="s">
        <v>113</v>
      </c>
      <c r="D10" t="s">
        <v>114</v>
      </c>
      <c r="E10" t="s">
        <v>150</v>
      </c>
      <c r="F10" s="8" t="s">
        <v>151</v>
      </c>
      <c r="H10" t="s">
        <v>152</v>
      </c>
      <c r="J10" t="s">
        <v>153</v>
      </c>
      <c r="K10" t="s">
        <v>154</v>
      </c>
      <c r="L10" t="s">
        <v>120</v>
      </c>
      <c r="M10" t="s">
        <v>121</v>
      </c>
      <c r="N10" t="s">
        <v>122</v>
      </c>
    </row>
    <row r="11" spans="1:14" x14ac:dyDescent="0.3">
      <c r="A11" s="5" t="s">
        <v>112</v>
      </c>
      <c r="B11" s="6" t="s">
        <v>113</v>
      </c>
      <c r="C11" s="7" t="s">
        <v>113</v>
      </c>
      <c r="D11" t="s">
        <v>114</v>
      </c>
      <c r="E11" t="s">
        <v>155</v>
      </c>
      <c r="F11" s="9" t="s">
        <v>156</v>
      </c>
      <c r="G11" s="10"/>
      <c r="H11" t="s">
        <v>157</v>
      </c>
      <c r="J11" t="s">
        <v>158</v>
      </c>
      <c r="K11" t="s">
        <v>159</v>
      </c>
      <c r="L11" t="s">
        <v>120</v>
      </c>
      <c r="M11" t="s">
        <v>121</v>
      </c>
      <c r="N11" t="s">
        <v>160</v>
      </c>
    </row>
    <row r="12" spans="1:14" x14ac:dyDescent="0.3">
      <c r="A12" s="5" t="s">
        <v>112</v>
      </c>
      <c r="B12" s="6" t="s">
        <v>113</v>
      </c>
      <c r="C12" s="7" t="s">
        <v>113</v>
      </c>
      <c r="D12" t="s">
        <v>114</v>
      </c>
      <c r="E12" t="s">
        <v>161</v>
      </c>
      <c r="F12" s="8" t="s">
        <v>162</v>
      </c>
      <c r="H12" t="s">
        <v>157</v>
      </c>
      <c r="J12" t="s">
        <v>163</v>
      </c>
      <c r="K12" t="s">
        <v>164</v>
      </c>
      <c r="L12" t="s">
        <v>109</v>
      </c>
      <c r="M12" t="s">
        <v>121</v>
      </c>
      <c r="N12" t="s">
        <v>122</v>
      </c>
    </row>
    <row r="13" spans="1:14" x14ac:dyDescent="0.3">
      <c r="A13" s="5" t="s">
        <v>91</v>
      </c>
      <c r="B13" s="6" t="s">
        <v>92</v>
      </c>
      <c r="C13" s="7" t="s">
        <v>165</v>
      </c>
      <c r="D13" t="s">
        <v>94</v>
      </c>
      <c r="E13" t="s">
        <v>166</v>
      </c>
      <c r="F13" s="8" t="s">
        <v>167</v>
      </c>
      <c r="H13" t="s">
        <v>97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</row>
    <row r="14" spans="1:14" x14ac:dyDescent="0.3">
      <c r="A14" s="5" t="s">
        <v>91</v>
      </c>
      <c r="B14" s="6" t="s">
        <v>92</v>
      </c>
      <c r="C14" s="7" t="s">
        <v>92</v>
      </c>
      <c r="D14" t="s">
        <v>76</v>
      </c>
      <c r="E14" t="s">
        <v>173</v>
      </c>
      <c r="F14" s="8" t="s">
        <v>174</v>
      </c>
      <c r="H14" t="s">
        <v>97</v>
      </c>
      <c r="J14" t="s">
        <v>175</v>
      </c>
      <c r="K14" t="s">
        <v>176</v>
      </c>
      <c r="L14" t="s">
        <v>100</v>
      </c>
      <c r="M14" t="s">
        <v>177</v>
      </c>
      <c r="N14" t="s">
        <v>178</v>
      </c>
    </row>
    <row r="15" spans="1:14" ht="16.350000000000001" customHeight="1" x14ac:dyDescent="0.3">
      <c r="A15" s="5" t="s">
        <v>91</v>
      </c>
      <c r="B15" s="6" t="s">
        <v>103</v>
      </c>
      <c r="C15" s="7" t="s">
        <v>93</v>
      </c>
      <c r="D15" t="s">
        <v>104</v>
      </c>
      <c r="E15" t="s">
        <v>179</v>
      </c>
      <c r="F15" s="8" t="s">
        <v>180</v>
      </c>
      <c r="H15" t="s">
        <v>97</v>
      </c>
      <c r="J15" t="s">
        <v>181</v>
      </c>
      <c r="K15" t="s">
        <v>182</v>
      </c>
      <c r="L15" t="s">
        <v>109</v>
      </c>
      <c r="M15" t="s">
        <v>183</v>
      </c>
      <c r="N15" t="s">
        <v>102</v>
      </c>
    </row>
    <row r="16" spans="1:14" x14ac:dyDescent="0.3">
      <c r="A16" s="5" t="s">
        <v>91</v>
      </c>
      <c r="B16" s="6" t="s">
        <v>92</v>
      </c>
      <c r="C16" s="7" t="s">
        <v>92</v>
      </c>
      <c r="D16" t="s">
        <v>184</v>
      </c>
      <c r="E16" t="s">
        <v>185</v>
      </c>
      <c r="F16" s="8" t="s">
        <v>186</v>
      </c>
      <c r="H16" t="s">
        <v>97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</row>
    <row r="17" spans="1:14" x14ac:dyDescent="0.3">
      <c r="A17" s="5" t="s">
        <v>91</v>
      </c>
      <c r="B17" s="6" t="s">
        <v>103</v>
      </c>
      <c r="C17" s="7" t="s">
        <v>103</v>
      </c>
      <c r="D17" t="s">
        <v>104</v>
      </c>
      <c r="E17" t="s">
        <v>192</v>
      </c>
      <c r="F17" s="8" t="s">
        <v>193</v>
      </c>
      <c r="H17" t="s">
        <v>97</v>
      </c>
      <c r="J17" t="s">
        <v>194</v>
      </c>
      <c r="K17" t="s">
        <v>195</v>
      </c>
      <c r="L17" t="s">
        <v>109</v>
      </c>
      <c r="M17" t="s">
        <v>110</v>
      </c>
      <c r="N17" t="s">
        <v>111</v>
      </c>
    </row>
    <row r="18" spans="1:14" x14ac:dyDescent="0.3">
      <c r="A18" s="5" t="s">
        <v>91</v>
      </c>
      <c r="B18" s="6" t="s">
        <v>92</v>
      </c>
      <c r="C18" s="7" t="s">
        <v>92</v>
      </c>
      <c r="D18" t="s">
        <v>76</v>
      </c>
      <c r="E18" t="s">
        <v>196</v>
      </c>
      <c r="F18" s="8" t="s">
        <v>197</v>
      </c>
      <c r="H18" t="s">
        <v>97</v>
      </c>
      <c r="J18" t="s">
        <v>198</v>
      </c>
      <c r="K18" t="s">
        <v>199</v>
      </c>
      <c r="L18" t="s">
        <v>100</v>
      </c>
      <c r="M18" t="s">
        <v>177</v>
      </c>
      <c r="N18" t="s">
        <v>178</v>
      </c>
    </row>
    <row r="19" spans="1:14" x14ac:dyDescent="0.3">
      <c r="A19" s="5" t="s">
        <v>91</v>
      </c>
      <c r="B19" s="6" t="s">
        <v>92</v>
      </c>
      <c r="C19" s="7" t="s">
        <v>92</v>
      </c>
      <c r="D19" t="s">
        <v>200</v>
      </c>
      <c r="E19" t="s">
        <v>201</v>
      </c>
      <c r="F19" s="8" t="s">
        <v>202</v>
      </c>
      <c r="H19" t="s">
        <v>97</v>
      </c>
      <c r="J19" t="s">
        <v>203</v>
      </c>
      <c r="K19" t="s">
        <v>204</v>
      </c>
      <c r="L19" t="s">
        <v>189</v>
      </c>
      <c r="M19" t="s">
        <v>205</v>
      </c>
      <c r="N19" t="s">
        <v>200</v>
      </c>
    </row>
    <row r="20" spans="1:14" x14ac:dyDescent="0.3">
      <c r="A20" s="5" t="s">
        <v>91</v>
      </c>
      <c r="B20" s="6" t="s">
        <v>92</v>
      </c>
      <c r="C20" s="7" t="s">
        <v>92</v>
      </c>
      <c r="D20" t="s">
        <v>200</v>
      </c>
      <c r="E20" t="s">
        <v>206</v>
      </c>
      <c r="F20" s="8" t="s">
        <v>207</v>
      </c>
      <c r="H20" t="s">
        <v>97</v>
      </c>
      <c r="J20" t="s">
        <v>208</v>
      </c>
      <c r="K20" t="s">
        <v>209</v>
      </c>
      <c r="L20" t="s">
        <v>210</v>
      </c>
      <c r="M20" t="s">
        <v>205</v>
      </c>
      <c r="N20" t="s">
        <v>200</v>
      </c>
    </row>
    <row r="21" spans="1:14" x14ac:dyDescent="0.3">
      <c r="A21" s="5" t="s">
        <v>91</v>
      </c>
      <c r="B21" s="6" t="s">
        <v>92</v>
      </c>
      <c r="C21" s="7" t="s">
        <v>92</v>
      </c>
      <c r="D21" t="s">
        <v>200</v>
      </c>
      <c r="E21" t="s">
        <v>211</v>
      </c>
      <c r="F21" s="8" t="s">
        <v>212</v>
      </c>
      <c r="H21" t="s">
        <v>97</v>
      </c>
      <c r="J21" t="s">
        <v>213</v>
      </c>
      <c r="K21" t="s">
        <v>214</v>
      </c>
      <c r="L21" t="s">
        <v>210</v>
      </c>
      <c r="M21" t="s">
        <v>205</v>
      </c>
      <c r="N21" t="s">
        <v>200</v>
      </c>
    </row>
    <row r="22" spans="1:14" x14ac:dyDescent="0.3">
      <c r="A22" s="5" t="s">
        <v>91</v>
      </c>
      <c r="B22" s="6" t="s">
        <v>103</v>
      </c>
      <c r="C22" s="7" t="s">
        <v>103</v>
      </c>
      <c r="D22" t="s">
        <v>134</v>
      </c>
      <c r="E22" t="s">
        <v>215</v>
      </c>
      <c r="F22" s="8" t="s">
        <v>216</v>
      </c>
      <c r="H22" t="s">
        <v>97</v>
      </c>
      <c r="J22" t="s">
        <v>217</v>
      </c>
      <c r="K22" t="s">
        <v>218</v>
      </c>
      <c r="L22" t="s">
        <v>127</v>
      </c>
      <c r="M22" t="s">
        <v>121</v>
      </c>
      <c r="N22" t="s">
        <v>219</v>
      </c>
    </row>
    <row r="23" spans="1:14" x14ac:dyDescent="0.3">
      <c r="A23" s="5" t="s">
        <v>91</v>
      </c>
      <c r="B23" s="6" t="s">
        <v>103</v>
      </c>
      <c r="C23" s="7" t="s">
        <v>103</v>
      </c>
      <c r="D23" t="s">
        <v>104</v>
      </c>
      <c r="E23" t="s">
        <v>220</v>
      </c>
      <c r="F23" s="8" t="s">
        <v>221</v>
      </c>
      <c r="H23" t="s">
        <v>97</v>
      </c>
      <c r="J23" t="s">
        <v>222</v>
      </c>
      <c r="K23" t="s">
        <v>223</v>
      </c>
      <c r="L23" t="s">
        <v>109</v>
      </c>
      <c r="M23" t="s">
        <v>110</v>
      </c>
      <c r="N23" t="s">
        <v>111</v>
      </c>
    </row>
    <row r="24" spans="1:14" x14ac:dyDescent="0.3">
      <c r="A24" s="5" t="s">
        <v>91</v>
      </c>
      <c r="B24" s="6" t="s">
        <v>92</v>
      </c>
      <c r="C24" s="7" t="s">
        <v>165</v>
      </c>
      <c r="D24" t="s">
        <v>94</v>
      </c>
      <c r="E24" t="s">
        <v>224</v>
      </c>
      <c r="F24" s="8" t="s">
        <v>225</v>
      </c>
      <c r="H24" t="s">
        <v>97</v>
      </c>
      <c r="J24" t="s">
        <v>226</v>
      </c>
      <c r="K24" t="s">
        <v>227</v>
      </c>
      <c r="L24" t="s">
        <v>170</v>
      </c>
      <c r="M24" t="s">
        <v>171</v>
      </c>
      <c r="N24" t="s">
        <v>172</v>
      </c>
    </row>
    <row r="25" spans="1:14" x14ac:dyDescent="0.3">
      <c r="A25" s="5" t="s">
        <v>91</v>
      </c>
      <c r="B25" s="6" t="s">
        <v>92</v>
      </c>
      <c r="C25" s="7" t="s">
        <v>92</v>
      </c>
      <c r="D25" t="s">
        <v>76</v>
      </c>
      <c r="E25" t="s">
        <v>228</v>
      </c>
      <c r="F25" s="8" t="s">
        <v>229</v>
      </c>
      <c r="H25" t="s">
        <v>97</v>
      </c>
      <c r="J25" t="s">
        <v>230</v>
      </c>
      <c r="K25" t="s">
        <v>231</v>
      </c>
      <c r="L25" t="s">
        <v>100</v>
      </c>
      <c r="M25" t="s">
        <v>177</v>
      </c>
      <c r="N25" t="s">
        <v>178</v>
      </c>
    </row>
    <row r="26" spans="1:14" x14ac:dyDescent="0.3">
      <c r="A26" s="5" t="s">
        <v>91</v>
      </c>
      <c r="B26" s="6" t="s">
        <v>92</v>
      </c>
      <c r="C26" s="7" t="s">
        <v>92</v>
      </c>
      <c r="D26" t="s">
        <v>232</v>
      </c>
      <c r="E26" t="s">
        <v>233</v>
      </c>
      <c r="F26" s="8" t="s">
        <v>234</v>
      </c>
      <c r="H26" t="s">
        <v>235</v>
      </c>
      <c r="I26" t="s">
        <v>236</v>
      </c>
      <c r="J26" t="s">
        <v>237</v>
      </c>
      <c r="K26" t="s">
        <v>238</v>
      </c>
      <c r="L26" t="s">
        <v>189</v>
      </c>
      <c r="M26" t="s">
        <v>239</v>
      </c>
      <c r="N26" t="s">
        <v>240</v>
      </c>
    </row>
    <row r="27" spans="1:14" x14ac:dyDescent="0.3">
      <c r="A27" s="5" t="s">
        <v>91</v>
      </c>
      <c r="B27" s="6" t="s">
        <v>92</v>
      </c>
      <c r="C27" s="7" t="s">
        <v>92</v>
      </c>
      <c r="D27" t="s">
        <v>76</v>
      </c>
      <c r="E27" t="s">
        <v>241</v>
      </c>
      <c r="F27" s="8" t="s">
        <v>242</v>
      </c>
      <c r="H27" t="s">
        <v>97</v>
      </c>
      <c r="J27" t="s">
        <v>243</v>
      </c>
      <c r="K27" t="s">
        <v>244</v>
      </c>
      <c r="L27" t="s">
        <v>100</v>
      </c>
      <c r="M27" t="s">
        <v>245</v>
      </c>
      <c r="N27" t="s">
        <v>178</v>
      </c>
    </row>
    <row r="28" spans="1:14" x14ac:dyDescent="0.3">
      <c r="A28" s="5" t="s">
        <v>91</v>
      </c>
      <c r="B28" s="6" t="s">
        <v>103</v>
      </c>
      <c r="C28" s="7" t="s">
        <v>103</v>
      </c>
      <c r="D28" t="s">
        <v>104</v>
      </c>
      <c r="E28" t="s">
        <v>246</v>
      </c>
      <c r="F28" s="8" t="s">
        <v>247</v>
      </c>
      <c r="H28" t="s">
        <v>97</v>
      </c>
      <c r="J28" t="s">
        <v>248</v>
      </c>
      <c r="K28" t="s">
        <v>249</v>
      </c>
      <c r="L28" t="s">
        <v>109</v>
      </c>
      <c r="M28" t="s">
        <v>110</v>
      </c>
      <c r="N28" t="s">
        <v>111</v>
      </c>
    </row>
    <row r="29" spans="1:14" x14ac:dyDescent="0.3">
      <c r="A29" s="5" t="s">
        <v>91</v>
      </c>
      <c r="B29" s="6" t="s">
        <v>92</v>
      </c>
      <c r="C29" s="7" t="s">
        <v>92</v>
      </c>
      <c r="D29" t="s">
        <v>123</v>
      </c>
      <c r="E29" t="s">
        <v>250</v>
      </c>
      <c r="F29" s="8" t="s">
        <v>251</v>
      </c>
      <c r="H29" t="s">
        <v>123</v>
      </c>
      <c r="J29" t="s">
        <v>75</v>
      </c>
      <c r="K29" t="s">
        <v>252</v>
      </c>
      <c r="L29" t="s">
        <v>100</v>
      </c>
      <c r="M29" t="s">
        <v>177</v>
      </c>
      <c r="N29" t="s">
        <v>178</v>
      </c>
    </row>
    <row r="30" spans="1:14" x14ac:dyDescent="0.3">
      <c r="A30" s="5" t="s">
        <v>91</v>
      </c>
      <c r="B30" s="6" t="s">
        <v>103</v>
      </c>
      <c r="C30" s="7" t="s">
        <v>253</v>
      </c>
      <c r="D30" t="s">
        <v>133</v>
      </c>
      <c r="E30" t="s">
        <v>254</v>
      </c>
      <c r="F30" s="8" t="s">
        <v>255</v>
      </c>
      <c r="H30" t="s">
        <v>97</v>
      </c>
      <c r="I30" t="s">
        <v>256</v>
      </c>
      <c r="J30" t="s">
        <v>257</v>
      </c>
      <c r="K30" t="s">
        <v>258</v>
      </c>
      <c r="L30" t="s">
        <v>259</v>
      </c>
      <c r="M30" t="s">
        <v>260</v>
      </c>
      <c r="N30" t="s">
        <v>260</v>
      </c>
    </row>
    <row r="31" spans="1:14" x14ac:dyDescent="0.3">
      <c r="A31" s="5" t="s">
        <v>112</v>
      </c>
      <c r="B31" s="6" t="s">
        <v>113</v>
      </c>
      <c r="C31" s="7" t="s">
        <v>113</v>
      </c>
      <c r="D31" t="s">
        <v>114</v>
      </c>
      <c r="E31" t="s">
        <v>261</v>
      </c>
      <c r="F31" s="9" t="s">
        <v>261</v>
      </c>
      <c r="G31" s="10"/>
      <c r="H31" t="s">
        <v>152</v>
      </c>
      <c r="K31" t="s">
        <v>262</v>
      </c>
      <c r="L31" t="s">
        <v>263</v>
      </c>
      <c r="N31" t="s">
        <v>122</v>
      </c>
    </row>
    <row r="32" spans="1:14" x14ac:dyDescent="0.3">
      <c r="A32" s="5" t="s">
        <v>91</v>
      </c>
      <c r="B32" s="6" t="s">
        <v>92</v>
      </c>
      <c r="C32" s="7" t="s">
        <v>92</v>
      </c>
      <c r="D32" t="s">
        <v>123</v>
      </c>
      <c r="E32" t="s">
        <v>264</v>
      </c>
      <c r="F32" s="8" t="s">
        <v>265</v>
      </c>
      <c r="H32" t="s">
        <v>123</v>
      </c>
      <c r="J32" t="s">
        <v>76</v>
      </c>
      <c r="K32" t="s">
        <v>252</v>
      </c>
      <c r="L32" t="s">
        <v>100</v>
      </c>
      <c r="M32" t="s">
        <v>177</v>
      </c>
      <c r="N32" t="s">
        <v>178</v>
      </c>
    </row>
    <row r="33" spans="1:14" x14ac:dyDescent="0.3">
      <c r="A33" s="5" t="s">
        <v>91</v>
      </c>
      <c r="B33" s="6" t="s">
        <v>103</v>
      </c>
      <c r="C33" s="7" t="s">
        <v>103</v>
      </c>
      <c r="D33" t="s">
        <v>104</v>
      </c>
      <c r="E33" t="s">
        <v>266</v>
      </c>
      <c r="F33" s="8" t="s">
        <v>267</v>
      </c>
      <c r="H33" t="s">
        <v>97</v>
      </c>
      <c r="J33" t="s">
        <v>268</v>
      </c>
      <c r="K33" t="s">
        <v>269</v>
      </c>
      <c r="L33" t="s">
        <v>109</v>
      </c>
      <c r="M33" t="s">
        <v>110</v>
      </c>
      <c r="N33" t="s">
        <v>111</v>
      </c>
    </row>
    <row r="34" spans="1:14" x14ac:dyDescent="0.3">
      <c r="A34" s="5" t="s">
        <v>91</v>
      </c>
      <c r="B34" s="6" t="s">
        <v>103</v>
      </c>
      <c r="C34" s="7" t="s">
        <v>93</v>
      </c>
      <c r="D34" t="s">
        <v>104</v>
      </c>
      <c r="E34" t="s">
        <v>270</v>
      </c>
      <c r="F34" s="8" t="s">
        <v>271</v>
      </c>
      <c r="H34" t="s">
        <v>97</v>
      </c>
      <c r="J34" t="s">
        <v>272</v>
      </c>
      <c r="K34" t="s">
        <v>273</v>
      </c>
      <c r="L34" t="s">
        <v>100</v>
      </c>
      <c r="M34" t="s">
        <v>101</v>
      </c>
      <c r="N34" t="s">
        <v>102</v>
      </c>
    </row>
    <row r="35" spans="1:14" x14ac:dyDescent="0.3">
      <c r="A35" s="5" t="s">
        <v>91</v>
      </c>
      <c r="B35" s="6" t="s">
        <v>92</v>
      </c>
      <c r="C35" s="7" t="s">
        <v>165</v>
      </c>
      <c r="D35" t="s">
        <v>94</v>
      </c>
      <c r="E35" t="s">
        <v>274</v>
      </c>
      <c r="F35" s="8" t="s">
        <v>275</v>
      </c>
      <c r="H35" t="s">
        <v>97</v>
      </c>
      <c r="J35" t="s">
        <v>276</v>
      </c>
      <c r="K35" t="s">
        <v>277</v>
      </c>
      <c r="L35" t="s">
        <v>259</v>
      </c>
      <c r="M35" t="s">
        <v>171</v>
      </c>
      <c r="N35" t="s">
        <v>172</v>
      </c>
    </row>
    <row r="36" spans="1:14" x14ac:dyDescent="0.3">
      <c r="A36" s="5" t="s">
        <v>91</v>
      </c>
      <c r="B36" s="6" t="s">
        <v>103</v>
      </c>
      <c r="C36" s="7" t="s">
        <v>103</v>
      </c>
      <c r="D36" t="s">
        <v>123</v>
      </c>
      <c r="E36" t="s">
        <v>278</v>
      </c>
      <c r="F36" s="8" t="s">
        <v>279</v>
      </c>
      <c r="H36" t="s">
        <v>123</v>
      </c>
      <c r="I36" t="s">
        <v>280</v>
      </c>
      <c r="J36" t="s">
        <v>281</v>
      </c>
      <c r="K36" t="s">
        <v>282</v>
      </c>
      <c r="L36" t="s">
        <v>283</v>
      </c>
      <c r="M36" t="s">
        <v>284</v>
      </c>
      <c r="N36" t="s">
        <v>285</v>
      </c>
    </row>
    <row r="37" spans="1:14" x14ac:dyDescent="0.3">
      <c r="A37" s="5" t="s">
        <v>91</v>
      </c>
      <c r="B37" s="6" t="s">
        <v>103</v>
      </c>
      <c r="C37" s="7" t="s">
        <v>103</v>
      </c>
      <c r="D37" t="s">
        <v>104</v>
      </c>
      <c r="E37" t="s">
        <v>286</v>
      </c>
      <c r="F37" s="8" t="s">
        <v>287</v>
      </c>
      <c r="H37" t="s">
        <v>97</v>
      </c>
      <c r="J37" t="s">
        <v>288</v>
      </c>
      <c r="K37" t="s">
        <v>289</v>
      </c>
      <c r="L37" t="s">
        <v>109</v>
      </c>
      <c r="M37" t="s">
        <v>110</v>
      </c>
      <c r="N37" t="s">
        <v>111</v>
      </c>
    </row>
    <row r="38" spans="1:14" x14ac:dyDescent="0.3">
      <c r="A38" s="5" t="s">
        <v>91</v>
      </c>
      <c r="B38" s="6" t="s">
        <v>92</v>
      </c>
      <c r="C38" s="7" t="s">
        <v>92</v>
      </c>
      <c r="D38" t="s">
        <v>184</v>
      </c>
      <c r="E38" t="s">
        <v>290</v>
      </c>
      <c r="F38" s="8" t="s">
        <v>291</v>
      </c>
      <c r="H38" t="s">
        <v>235</v>
      </c>
      <c r="J38" t="s">
        <v>292</v>
      </c>
      <c r="K38" t="s">
        <v>293</v>
      </c>
      <c r="L38" t="s">
        <v>189</v>
      </c>
      <c r="M38" t="s">
        <v>294</v>
      </c>
      <c r="N38" t="s">
        <v>295</v>
      </c>
    </row>
    <row r="39" spans="1:14" x14ac:dyDescent="0.3">
      <c r="A39" s="5" t="s">
        <v>91</v>
      </c>
      <c r="B39" s="6" t="s">
        <v>103</v>
      </c>
      <c r="C39" s="7" t="s">
        <v>103</v>
      </c>
      <c r="D39" t="s">
        <v>123</v>
      </c>
      <c r="E39" t="s">
        <v>296</v>
      </c>
      <c r="F39" s="8" t="s">
        <v>297</v>
      </c>
      <c r="H39" t="s">
        <v>123</v>
      </c>
      <c r="I39" t="s">
        <v>280</v>
      </c>
      <c r="J39" t="s">
        <v>298</v>
      </c>
      <c r="K39" t="s">
        <v>299</v>
      </c>
      <c r="L39" t="s">
        <v>283</v>
      </c>
      <c r="M39" t="s">
        <v>284</v>
      </c>
      <c r="N39" t="s">
        <v>285</v>
      </c>
    </row>
    <row r="40" spans="1:14" x14ac:dyDescent="0.3">
      <c r="A40" s="5" t="s">
        <v>91</v>
      </c>
      <c r="B40" s="6" t="s">
        <v>103</v>
      </c>
      <c r="C40" s="7" t="s">
        <v>103</v>
      </c>
      <c r="D40" t="s">
        <v>123</v>
      </c>
      <c r="E40" t="s">
        <v>300</v>
      </c>
      <c r="F40" s="8" t="s">
        <v>301</v>
      </c>
      <c r="H40" t="s">
        <v>123</v>
      </c>
      <c r="I40" t="s">
        <v>280</v>
      </c>
      <c r="J40" t="s">
        <v>302</v>
      </c>
      <c r="K40" t="s">
        <v>303</v>
      </c>
      <c r="L40" t="s">
        <v>109</v>
      </c>
      <c r="M40" t="s">
        <v>284</v>
      </c>
      <c r="N40" t="s">
        <v>285</v>
      </c>
    </row>
    <row r="41" spans="1:14" x14ac:dyDescent="0.3">
      <c r="A41" s="5" t="s">
        <v>91</v>
      </c>
      <c r="B41" s="6" t="s">
        <v>103</v>
      </c>
      <c r="C41" s="7" t="s">
        <v>103</v>
      </c>
      <c r="D41" t="s">
        <v>104</v>
      </c>
      <c r="E41" t="s">
        <v>304</v>
      </c>
      <c r="F41" s="8" t="s">
        <v>112</v>
      </c>
      <c r="H41" t="s">
        <v>97</v>
      </c>
      <c r="J41" t="s">
        <v>305</v>
      </c>
      <c r="K41" t="s">
        <v>306</v>
      </c>
      <c r="L41" t="s">
        <v>109</v>
      </c>
      <c r="M41" t="s">
        <v>110</v>
      </c>
      <c r="N41" t="s">
        <v>111</v>
      </c>
    </row>
    <row r="42" spans="1:14" x14ac:dyDescent="0.3">
      <c r="A42" s="5" t="s">
        <v>91</v>
      </c>
      <c r="B42" s="6" t="s">
        <v>103</v>
      </c>
      <c r="C42" s="7" t="s">
        <v>103</v>
      </c>
      <c r="D42" t="s">
        <v>104</v>
      </c>
      <c r="E42" t="s">
        <v>307</v>
      </c>
      <c r="F42" s="8" t="s">
        <v>308</v>
      </c>
      <c r="H42" t="s">
        <v>97</v>
      </c>
      <c r="J42" t="s">
        <v>309</v>
      </c>
      <c r="K42" t="s">
        <v>310</v>
      </c>
      <c r="L42" t="s">
        <v>109</v>
      </c>
      <c r="M42" t="s">
        <v>110</v>
      </c>
      <c r="N42" t="s">
        <v>111</v>
      </c>
    </row>
    <row r="43" spans="1:14" x14ac:dyDescent="0.3">
      <c r="A43" s="5" t="s">
        <v>91</v>
      </c>
      <c r="B43" s="6" t="s">
        <v>92</v>
      </c>
      <c r="C43" s="7" t="s">
        <v>92</v>
      </c>
      <c r="D43" t="s">
        <v>200</v>
      </c>
      <c r="E43" t="s">
        <v>311</v>
      </c>
      <c r="F43" s="8" t="s">
        <v>312</v>
      </c>
      <c r="H43" t="s">
        <v>97</v>
      </c>
      <c r="J43" t="s">
        <v>313</v>
      </c>
      <c r="K43" t="s">
        <v>204</v>
      </c>
      <c r="L43" t="s">
        <v>189</v>
      </c>
      <c r="M43" t="s">
        <v>110</v>
      </c>
      <c r="N43" t="s">
        <v>200</v>
      </c>
    </row>
    <row r="44" spans="1:14" x14ac:dyDescent="0.3">
      <c r="A44" s="5" t="s">
        <v>91</v>
      </c>
      <c r="B44" s="6" t="s">
        <v>92</v>
      </c>
      <c r="C44" s="7" t="s">
        <v>92</v>
      </c>
      <c r="D44" t="s">
        <v>200</v>
      </c>
      <c r="E44" t="s">
        <v>314</v>
      </c>
      <c r="F44" s="8" t="s">
        <v>315</v>
      </c>
      <c r="H44" t="s">
        <v>97</v>
      </c>
      <c r="J44" t="s">
        <v>316</v>
      </c>
      <c r="K44" t="s">
        <v>209</v>
      </c>
      <c r="L44" t="s">
        <v>210</v>
      </c>
      <c r="M44" t="s">
        <v>110</v>
      </c>
      <c r="N44" t="s">
        <v>200</v>
      </c>
    </row>
    <row r="45" spans="1:14" x14ac:dyDescent="0.3">
      <c r="A45" s="5" t="s">
        <v>91</v>
      </c>
      <c r="B45" s="6" t="s">
        <v>92</v>
      </c>
      <c r="C45" s="7" t="s">
        <v>92</v>
      </c>
      <c r="D45" t="s">
        <v>200</v>
      </c>
      <c r="E45" t="s">
        <v>317</v>
      </c>
      <c r="F45" s="8" t="s">
        <v>318</v>
      </c>
      <c r="H45" t="s">
        <v>97</v>
      </c>
      <c r="J45" t="s">
        <v>319</v>
      </c>
      <c r="K45" t="s">
        <v>214</v>
      </c>
      <c r="L45" t="s">
        <v>210</v>
      </c>
      <c r="M45" t="s">
        <v>110</v>
      </c>
      <c r="N45" t="s">
        <v>200</v>
      </c>
    </row>
    <row r="46" spans="1:14" x14ac:dyDescent="0.3">
      <c r="A46" s="5" t="s">
        <v>91</v>
      </c>
      <c r="B46" s="6" t="s">
        <v>92</v>
      </c>
      <c r="C46" s="7" t="s">
        <v>165</v>
      </c>
      <c r="D46" t="s">
        <v>94</v>
      </c>
      <c r="E46" t="s">
        <v>320</v>
      </c>
      <c r="F46" s="8" t="s">
        <v>321</v>
      </c>
      <c r="H46" t="s">
        <v>97</v>
      </c>
      <c r="J46" t="s">
        <v>322</v>
      </c>
      <c r="K46" t="s">
        <v>323</v>
      </c>
      <c r="L46" t="s">
        <v>259</v>
      </c>
      <c r="M46" t="s">
        <v>324</v>
      </c>
      <c r="N46" t="s">
        <v>325</v>
      </c>
    </row>
    <row r="47" spans="1:14" x14ac:dyDescent="0.3">
      <c r="A47" s="5" t="s">
        <v>91</v>
      </c>
      <c r="B47" s="6" t="s">
        <v>103</v>
      </c>
      <c r="C47" s="7" t="s">
        <v>253</v>
      </c>
      <c r="D47" t="s">
        <v>133</v>
      </c>
      <c r="E47" t="s">
        <v>326</v>
      </c>
      <c r="F47" s="8" t="s">
        <v>327</v>
      </c>
      <c r="H47" t="s">
        <v>97</v>
      </c>
      <c r="I47" t="s">
        <v>256</v>
      </c>
      <c r="J47" t="s">
        <v>328</v>
      </c>
      <c r="K47" t="s">
        <v>329</v>
      </c>
      <c r="L47" t="s">
        <v>259</v>
      </c>
      <c r="M47" t="s">
        <v>260</v>
      </c>
      <c r="N47" t="s">
        <v>260</v>
      </c>
    </row>
    <row r="48" spans="1:14" x14ac:dyDescent="0.3">
      <c r="A48" s="5" t="s">
        <v>91</v>
      </c>
      <c r="B48" s="6" t="s">
        <v>103</v>
      </c>
      <c r="C48" s="7" t="s">
        <v>253</v>
      </c>
      <c r="D48" t="s">
        <v>133</v>
      </c>
      <c r="E48" t="s">
        <v>330</v>
      </c>
      <c r="F48" s="8" t="s">
        <v>331</v>
      </c>
      <c r="H48" t="s">
        <v>97</v>
      </c>
      <c r="I48" t="s">
        <v>256</v>
      </c>
      <c r="J48" t="s">
        <v>332</v>
      </c>
      <c r="K48" t="s">
        <v>333</v>
      </c>
      <c r="L48" t="s">
        <v>259</v>
      </c>
      <c r="M48" t="s">
        <v>260</v>
      </c>
      <c r="N48" t="s">
        <v>260</v>
      </c>
    </row>
    <row r="49" spans="1:14" x14ac:dyDescent="0.3">
      <c r="A49" s="5" t="s">
        <v>91</v>
      </c>
      <c r="B49" s="6" t="s">
        <v>92</v>
      </c>
      <c r="C49" s="7" t="s">
        <v>92</v>
      </c>
      <c r="D49" t="s">
        <v>232</v>
      </c>
      <c r="E49" t="s">
        <v>334</v>
      </c>
      <c r="F49" s="8" t="s">
        <v>335</v>
      </c>
      <c r="H49" t="s">
        <v>235</v>
      </c>
      <c r="J49" t="s">
        <v>336</v>
      </c>
      <c r="K49" t="s">
        <v>337</v>
      </c>
      <c r="L49" t="s">
        <v>189</v>
      </c>
      <c r="M49" t="s">
        <v>338</v>
      </c>
      <c r="N49" t="s">
        <v>338</v>
      </c>
    </row>
    <row r="50" spans="1:14" x14ac:dyDescent="0.3">
      <c r="A50" s="5" t="s">
        <v>91</v>
      </c>
      <c r="B50" s="6" t="s">
        <v>92</v>
      </c>
      <c r="C50" s="7" t="s">
        <v>165</v>
      </c>
      <c r="D50" t="s">
        <v>94</v>
      </c>
      <c r="E50" t="s">
        <v>339</v>
      </c>
      <c r="F50" s="8" t="s">
        <v>340</v>
      </c>
      <c r="H50" t="s">
        <v>97</v>
      </c>
      <c r="J50" t="s">
        <v>341</v>
      </c>
      <c r="K50" t="s">
        <v>342</v>
      </c>
      <c r="L50" t="s">
        <v>109</v>
      </c>
      <c r="M50" t="s">
        <v>324</v>
      </c>
      <c r="N50" t="s">
        <v>325</v>
      </c>
    </row>
    <row r="51" spans="1:14" x14ac:dyDescent="0.3">
      <c r="A51" s="5" t="s">
        <v>91</v>
      </c>
      <c r="B51" s="6" t="s">
        <v>103</v>
      </c>
      <c r="C51" s="7" t="s">
        <v>93</v>
      </c>
      <c r="D51" t="s">
        <v>104</v>
      </c>
      <c r="E51" t="s">
        <v>343</v>
      </c>
      <c r="F51" s="8" t="s">
        <v>344</v>
      </c>
      <c r="H51" t="s">
        <v>97</v>
      </c>
      <c r="J51" t="s">
        <v>345</v>
      </c>
      <c r="K51" t="s">
        <v>346</v>
      </c>
      <c r="L51" t="s">
        <v>109</v>
      </c>
      <c r="M51" t="s">
        <v>183</v>
      </c>
      <c r="N51" t="s">
        <v>102</v>
      </c>
    </row>
    <row r="52" spans="1:14" x14ac:dyDescent="0.3">
      <c r="A52" s="5" t="s">
        <v>91</v>
      </c>
      <c r="B52" s="6" t="s">
        <v>103</v>
      </c>
      <c r="C52" s="7" t="s">
        <v>103</v>
      </c>
      <c r="D52" t="s">
        <v>104</v>
      </c>
      <c r="E52" t="s">
        <v>347</v>
      </c>
      <c r="F52" s="8" t="s">
        <v>348</v>
      </c>
      <c r="H52" t="s">
        <v>97</v>
      </c>
      <c r="J52" t="s">
        <v>349</v>
      </c>
      <c r="K52" t="s">
        <v>350</v>
      </c>
      <c r="L52" t="s">
        <v>109</v>
      </c>
      <c r="M52" t="s">
        <v>110</v>
      </c>
      <c r="N52" t="s">
        <v>111</v>
      </c>
    </row>
    <row r="53" spans="1:14" x14ac:dyDescent="0.3">
      <c r="A53" s="5" t="s">
        <v>91</v>
      </c>
      <c r="B53" s="6" t="s">
        <v>92</v>
      </c>
      <c r="C53" s="7" t="s">
        <v>92</v>
      </c>
      <c r="D53" t="s">
        <v>94</v>
      </c>
      <c r="E53" t="s">
        <v>351</v>
      </c>
      <c r="F53" s="8" t="s">
        <v>352</v>
      </c>
      <c r="H53" t="s">
        <v>97</v>
      </c>
      <c r="J53" t="s">
        <v>353</v>
      </c>
      <c r="K53" t="s">
        <v>354</v>
      </c>
      <c r="L53" t="s">
        <v>100</v>
      </c>
      <c r="M53" t="s">
        <v>324</v>
      </c>
      <c r="N53" t="s">
        <v>355</v>
      </c>
    </row>
    <row r="54" spans="1:14" x14ac:dyDescent="0.3">
      <c r="A54" s="5" t="s">
        <v>91</v>
      </c>
      <c r="B54" s="6" t="s">
        <v>92</v>
      </c>
      <c r="C54" s="7" t="s">
        <v>92</v>
      </c>
      <c r="D54" t="s">
        <v>94</v>
      </c>
      <c r="E54" t="s">
        <v>356</v>
      </c>
      <c r="F54" s="8" t="s">
        <v>357</v>
      </c>
      <c r="H54" t="s">
        <v>97</v>
      </c>
      <c r="I54" t="s">
        <v>358</v>
      </c>
      <c r="J54" t="s">
        <v>359</v>
      </c>
      <c r="K54" t="s">
        <v>360</v>
      </c>
      <c r="L54" t="s">
        <v>109</v>
      </c>
      <c r="M54" t="s">
        <v>361</v>
      </c>
      <c r="N54" t="s">
        <v>362</v>
      </c>
    </row>
    <row r="55" spans="1:14" x14ac:dyDescent="0.3">
      <c r="A55" s="5" t="s">
        <v>91</v>
      </c>
      <c r="B55" s="6" t="s">
        <v>92</v>
      </c>
      <c r="C55" s="7" t="s">
        <v>92</v>
      </c>
      <c r="D55" t="s">
        <v>94</v>
      </c>
      <c r="E55" t="s">
        <v>363</v>
      </c>
      <c r="F55" s="8" t="s">
        <v>364</v>
      </c>
      <c r="H55" t="s">
        <v>97</v>
      </c>
      <c r="I55" t="s">
        <v>358</v>
      </c>
      <c r="J55" t="s">
        <v>365</v>
      </c>
      <c r="K55" t="s">
        <v>366</v>
      </c>
      <c r="L55" t="s">
        <v>109</v>
      </c>
      <c r="M55" t="s">
        <v>361</v>
      </c>
      <c r="N55" t="s">
        <v>362</v>
      </c>
    </row>
    <row r="56" spans="1:14" x14ac:dyDescent="0.3">
      <c r="A56" s="5" t="s">
        <v>91</v>
      </c>
      <c r="B56" s="6" t="s">
        <v>103</v>
      </c>
      <c r="C56" s="7" t="s">
        <v>103</v>
      </c>
      <c r="D56" t="s">
        <v>104</v>
      </c>
      <c r="E56" t="s">
        <v>367</v>
      </c>
      <c r="F56" s="8" t="s">
        <v>368</v>
      </c>
      <c r="H56" t="s">
        <v>97</v>
      </c>
      <c r="J56" t="s">
        <v>369</v>
      </c>
      <c r="K56" t="s">
        <v>370</v>
      </c>
      <c r="L56" t="s">
        <v>109</v>
      </c>
      <c r="M56" t="s">
        <v>294</v>
      </c>
      <c r="N56" t="s">
        <v>104</v>
      </c>
    </row>
    <row r="57" spans="1:14" x14ac:dyDescent="0.3">
      <c r="A57" s="5" t="s">
        <v>91</v>
      </c>
      <c r="B57" s="6" t="s">
        <v>103</v>
      </c>
      <c r="C57" s="7" t="s">
        <v>103</v>
      </c>
      <c r="D57" t="s">
        <v>104</v>
      </c>
      <c r="E57" t="s">
        <v>371</v>
      </c>
      <c r="F57" s="8" t="s">
        <v>372</v>
      </c>
      <c r="H57" t="s">
        <v>97</v>
      </c>
      <c r="J57" t="s">
        <v>373</v>
      </c>
      <c r="K57" t="s">
        <v>374</v>
      </c>
      <c r="L57" t="s">
        <v>109</v>
      </c>
      <c r="M57" t="s">
        <v>294</v>
      </c>
      <c r="N57" t="s">
        <v>104</v>
      </c>
    </row>
    <row r="58" spans="1:14" x14ac:dyDescent="0.3">
      <c r="A58" s="5" t="s">
        <v>91</v>
      </c>
      <c r="B58" s="6" t="s">
        <v>103</v>
      </c>
      <c r="C58" s="7" t="s">
        <v>375</v>
      </c>
      <c r="D58" t="s">
        <v>375</v>
      </c>
      <c r="E58" t="s">
        <v>376</v>
      </c>
      <c r="F58" s="8" t="s">
        <v>377</v>
      </c>
      <c r="H58" t="s">
        <v>235</v>
      </c>
      <c r="I58" t="s">
        <v>358</v>
      </c>
      <c r="J58" t="s">
        <v>378</v>
      </c>
      <c r="K58" t="s">
        <v>379</v>
      </c>
      <c r="L58" t="s">
        <v>109</v>
      </c>
      <c r="M58" t="s">
        <v>361</v>
      </c>
      <c r="N58" t="s">
        <v>361</v>
      </c>
    </row>
    <row r="59" spans="1:14" x14ac:dyDescent="0.3">
      <c r="A59" s="5" t="s">
        <v>91</v>
      </c>
      <c r="B59" s="6" t="s">
        <v>103</v>
      </c>
      <c r="C59" s="7" t="s">
        <v>380</v>
      </c>
      <c r="D59" t="s">
        <v>380</v>
      </c>
      <c r="E59" t="s">
        <v>381</v>
      </c>
      <c r="F59" s="8" t="s">
        <v>382</v>
      </c>
      <c r="H59" t="s">
        <v>97</v>
      </c>
      <c r="I59" t="s">
        <v>383</v>
      </c>
      <c r="J59" t="s">
        <v>384</v>
      </c>
      <c r="K59" t="s">
        <v>385</v>
      </c>
      <c r="L59" t="s">
        <v>109</v>
      </c>
      <c r="M59" t="s">
        <v>386</v>
      </c>
      <c r="N59" t="s">
        <v>386</v>
      </c>
    </row>
    <row r="60" spans="1:14" x14ac:dyDescent="0.3">
      <c r="A60" s="5" t="s">
        <v>91</v>
      </c>
      <c r="B60" s="6" t="s">
        <v>103</v>
      </c>
      <c r="C60" s="7" t="s">
        <v>103</v>
      </c>
      <c r="D60" t="s">
        <v>104</v>
      </c>
      <c r="E60" t="s">
        <v>387</v>
      </c>
      <c r="F60" s="8" t="s">
        <v>388</v>
      </c>
      <c r="H60" t="s">
        <v>97</v>
      </c>
      <c r="J60" t="s">
        <v>389</v>
      </c>
      <c r="K60" t="s">
        <v>390</v>
      </c>
      <c r="L60" t="s">
        <v>109</v>
      </c>
      <c r="M60" t="s">
        <v>294</v>
      </c>
      <c r="N60" t="s">
        <v>104</v>
      </c>
    </row>
    <row r="61" spans="1:14" x14ac:dyDescent="0.3">
      <c r="A61" s="5" t="s">
        <v>91</v>
      </c>
      <c r="B61" s="6" t="s">
        <v>103</v>
      </c>
      <c r="C61" s="7" t="s">
        <v>103</v>
      </c>
      <c r="D61" t="s">
        <v>104</v>
      </c>
      <c r="E61" t="s">
        <v>391</v>
      </c>
      <c r="F61" s="8" t="s">
        <v>392</v>
      </c>
      <c r="H61" t="s">
        <v>97</v>
      </c>
      <c r="J61" t="s">
        <v>393</v>
      </c>
      <c r="K61" t="s">
        <v>394</v>
      </c>
      <c r="L61" t="s">
        <v>109</v>
      </c>
      <c r="M61" t="s">
        <v>294</v>
      </c>
      <c r="N61" t="s">
        <v>104</v>
      </c>
    </row>
    <row r="62" spans="1:14" x14ac:dyDescent="0.3">
      <c r="A62" s="5" t="s">
        <v>91</v>
      </c>
      <c r="B62" s="6" t="s">
        <v>103</v>
      </c>
      <c r="C62" s="7" t="s">
        <v>103</v>
      </c>
      <c r="D62" t="s">
        <v>104</v>
      </c>
      <c r="E62" t="s">
        <v>395</v>
      </c>
      <c r="F62" s="8" t="s">
        <v>396</v>
      </c>
      <c r="H62" t="s">
        <v>97</v>
      </c>
      <c r="J62" t="s">
        <v>397</v>
      </c>
      <c r="K62" t="s">
        <v>398</v>
      </c>
      <c r="L62" t="s">
        <v>109</v>
      </c>
      <c r="M62" t="s">
        <v>294</v>
      </c>
      <c r="N62" t="s">
        <v>104</v>
      </c>
    </row>
    <row r="63" spans="1:14" x14ac:dyDescent="0.3">
      <c r="A63" s="5" t="s">
        <v>91</v>
      </c>
      <c r="B63" s="6" t="s">
        <v>103</v>
      </c>
      <c r="C63" s="7" t="s">
        <v>375</v>
      </c>
      <c r="D63" t="s">
        <v>375</v>
      </c>
      <c r="E63" t="s">
        <v>399</v>
      </c>
      <c r="F63" s="8" t="s">
        <v>400</v>
      </c>
      <c r="H63" t="s">
        <v>235</v>
      </c>
      <c r="I63" t="s">
        <v>358</v>
      </c>
      <c r="J63" t="s">
        <v>401</v>
      </c>
      <c r="K63" t="s">
        <v>402</v>
      </c>
      <c r="L63" t="s">
        <v>109</v>
      </c>
      <c r="M63" t="s">
        <v>361</v>
      </c>
      <c r="N63" t="s">
        <v>361</v>
      </c>
    </row>
    <row r="64" spans="1:14" x14ac:dyDescent="0.3">
      <c r="A64" s="5" t="s">
        <v>91</v>
      </c>
      <c r="B64" s="6" t="s">
        <v>92</v>
      </c>
      <c r="C64" s="7" t="s">
        <v>375</v>
      </c>
      <c r="D64" t="s">
        <v>94</v>
      </c>
      <c r="E64" t="s">
        <v>403</v>
      </c>
      <c r="F64" s="8" t="s">
        <v>404</v>
      </c>
      <c r="H64" t="s">
        <v>235</v>
      </c>
      <c r="I64" t="s">
        <v>358</v>
      </c>
      <c r="J64" t="s">
        <v>405</v>
      </c>
      <c r="K64" t="s">
        <v>406</v>
      </c>
      <c r="L64" t="s">
        <v>109</v>
      </c>
      <c r="M64" t="s">
        <v>361</v>
      </c>
      <c r="N64" t="s">
        <v>361</v>
      </c>
    </row>
    <row r="65" spans="1:14" x14ac:dyDescent="0.3">
      <c r="A65" s="5" t="s">
        <v>91</v>
      </c>
      <c r="B65" s="6" t="s">
        <v>103</v>
      </c>
      <c r="C65" s="7" t="s">
        <v>375</v>
      </c>
      <c r="D65" t="s">
        <v>375</v>
      </c>
      <c r="E65" t="s">
        <v>407</v>
      </c>
      <c r="F65" s="8" t="s">
        <v>408</v>
      </c>
      <c r="H65" t="s">
        <v>235</v>
      </c>
      <c r="I65" t="s">
        <v>358</v>
      </c>
      <c r="J65" t="s">
        <v>409</v>
      </c>
      <c r="K65" t="s">
        <v>410</v>
      </c>
      <c r="L65" t="s">
        <v>109</v>
      </c>
      <c r="M65" t="s">
        <v>361</v>
      </c>
      <c r="N65" t="s">
        <v>361</v>
      </c>
    </row>
    <row r="66" spans="1:14" x14ac:dyDescent="0.3">
      <c r="A66" s="5" t="s">
        <v>91</v>
      </c>
      <c r="B66" s="6" t="s">
        <v>103</v>
      </c>
      <c r="C66" s="7" t="s">
        <v>103</v>
      </c>
      <c r="D66" t="s">
        <v>104</v>
      </c>
      <c r="E66" t="s">
        <v>411</v>
      </c>
      <c r="F66" s="8" t="s">
        <v>412</v>
      </c>
      <c r="H66" t="s">
        <v>97</v>
      </c>
      <c r="J66" t="s">
        <v>413</v>
      </c>
      <c r="K66" t="s">
        <v>414</v>
      </c>
      <c r="L66" t="s">
        <v>109</v>
      </c>
      <c r="M66" t="s">
        <v>294</v>
      </c>
      <c r="N66" t="s">
        <v>104</v>
      </c>
    </row>
    <row r="67" spans="1:14" x14ac:dyDescent="0.3">
      <c r="A67" s="5" t="s">
        <v>91</v>
      </c>
      <c r="B67" s="6" t="s">
        <v>103</v>
      </c>
      <c r="C67" s="7" t="s">
        <v>103</v>
      </c>
      <c r="D67" t="s">
        <v>104</v>
      </c>
      <c r="E67" t="s">
        <v>415</v>
      </c>
      <c r="F67" s="8" t="s">
        <v>416</v>
      </c>
      <c r="H67" t="s">
        <v>97</v>
      </c>
      <c r="J67" t="s">
        <v>417</v>
      </c>
      <c r="K67" t="s">
        <v>418</v>
      </c>
      <c r="L67" t="s">
        <v>109</v>
      </c>
      <c r="M67" t="s">
        <v>294</v>
      </c>
      <c r="N67" t="s">
        <v>104</v>
      </c>
    </row>
    <row r="68" spans="1:14" x14ac:dyDescent="0.3">
      <c r="A68" s="5" t="s">
        <v>91</v>
      </c>
      <c r="B68" s="6" t="s">
        <v>103</v>
      </c>
      <c r="C68" s="7" t="s">
        <v>103</v>
      </c>
      <c r="D68" t="s">
        <v>104</v>
      </c>
      <c r="E68" t="s">
        <v>419</v>
      </c>
      <c r="F68" s="8" t="s">
        <v>420</v>
      </c>
      <c r="H68" t="s">
        <v>97</v>
      </c>
      <c r="J68" t="s">
        <v>421</v>
      </c>
      <c r="K68" t="s">
        <v>422</v>
      </c>
      <c r="L68" t="s">
        <v>109</v>
      </c>
      <c r="M68" t="s">
        <v>294</v>
      </c>
      <c r="N68" t="s">
        <v>104</v>
      </c>
    </row>
    <row r="69" spans="1:14" s="11" customFormat="1" x14ac:dyDescent="0.3">
      <c r="A69" s="5" t="s">
        <v>91</v>
      </c>
      <c r="B69" s="6" t="s">
        <v>103</v>
      </c>
      <c r="C69" s="7" t="s">
        <v>103</v>
      </c>
      <c r="D69" t="s">
        <v>380</v>
      </c>
      <c r="E69" s="11" t="s">
        <v>423</v>
      </c>
      <c r="F69" s="12" t="s">
        <v>424</v>
      </c>
      <c r="H69" s="11" t="s">
        <v>235</v>
      </c>
      <c r="I69" s="11" t="s">
        <v>425</v>
      </c>
      <c r="J69" s="11" t="s">
        <v>426</v>
      </c>
      <c r="K69" s="11" t="s">
        <v>427</v>
      </c>
      <c r="L69" s="11" t="s">
        <v>109</v>
      </c>
      <c r="M69" s="11" t="s">
        <v>294</v>
      </c>
    </row>
    <row r="70" spans="1:14" x14ac:dyDescent="0.3">
      <c r="A70" s="5" t="s">
        <v>91</v>
      </c>
      <c r="B70" s="6" t="s">
        <v>92</v>
      </c>
      <c r="C70" s="7" t="s">
        <v>103</v>
      </c>
      <c r="D70" t="s">
        <v>375</v>
      </c>
      <c r="E70" t="s">
        <v>428</v>
      </c>
      <c r="F70" s="8" t="s">
        <v>429</v>
      </c>
      <c r="H70" t="s">
        <v>235</v>
      </c>
      <c r="I70" t="s">
        <v>430</v>
      </c>
      <c r="J70" t="s">
        <v>431</v>
      </c>
      <c r="K70" t="s">
        <v>432</v>
      </c>
      <c r="L70" t="s">
        <v>109</v>
      </c>
      <c r="M70" t="s">
        <v>433</v>
      </c>
      <c r="N70" t="s">
        <v>434</v>
      </c>
    </row>
    <row r="71" spans="1:14" x14ac:dyDescent="0.3">
      <c r="A71" s="5" t="s">
        <v>91</v>
      </c>
      <c r="B71" s="6" t="s">
        <v>103</v>
      </c>
      <c r="C71" s="7" t="s">
        <v>103</v>
      </c>
      <c r="D71" t="s">
        <v>104</v>
      </c>
      <c r="E71" t="s">
        <v>435</v>
      </c>
      <c r="F71" s="8" t="s">
        <v>436</v>
      </c>
      <c r="H71" t="s">
        <v>97</v>
      </c>
      <c r="J71" t="s">
        <v>437</v>
      </c>
      <c r="K71" t="s">
        <v>438</v>
      </c>
      <c r="L71" t="s">
        <v>109</v>
      </c>
      <c r="M71" t="s">
        <v>294</v>
      </c>
      <c r="N71" t="s">
        <v>104</v>
      </c>
    </row>
    <row r="72" spans="1:14" x14ac:dyDescent="0.3">
      <c r="A72" s="5" t="s">
        <v>91</v>
      </c>
      <c r="B72" s="6" t="s">
        <v>103</v>
      </c>
      <c r="C72" s="7" t="s">
        <v>103</v>
      </c>
      <c r="D72" t="s">
        <v>104</v>
      </c>
      <c r="E72" t="s">
        <v>439</v>
      </c>
      <c r="F72" s="8" t="s">
        <v>440</v>
      </c>
      <c r="H72" t="s">
        <v>97</v>
      </c>
      <c r="J72" t="s">
        <v>441</v>
      </c>
      <c r="K72" t="s">
        <v>442</v>
      </c>
      <c r="L72" t="s">
        <v>109</v>
      </c>
      <c r="M72" t="s">
        <v>294</v>
      </c>
      <c r="N72" t="s">
        <v>104</v>
      </c>
    </row>
    <row r="73" spans="1:14" x14ac:dyDescent="0.3">
      <c r="A73" s="5" t="s">
        <v>91</v>
      </c>
      <c r="B73" s="6" t="s">
        <v>103</v>
      </c>
      <c r="C73" s="7" t="s">
        <v>103</v>
      </c>
      <c r="D73" t="s">
        <v>104</v>
      </c>
      <c r="E73" t="s">
        <v>443</v>
      </c>
      <c r="F73" s="8" t="s">
        <v>444</v>
      </c>
      <c r="H73" t="s">
        <v>97</v>
      </c>
      <c r="J73" t="s">
        <v>445</v>
      </c>
      <c r="K73" t="s">
        <v>446</v>
      </c>
      <c r="L73" t="s">
        <v>109</v>
      </c>
      <c r="M73" t="s">
        <v>294</v>
      </c>
      <c r="N73" t="s">
        <v>104</v>
      </c>
    </row>
    <row r="74" spans="1:14" x14ac:dyDescent="0.3">
      <c r="A74" s="5" t="s">
        <v>91</v>
      </c>
      <c r="B74" s="6" t="s">
        <v>103</v>
      </c>
      <c r="C74" s="7" t="s">
        <v>103</v>
      </c>
      <c r="D74" t="s">
        <v>104</v>
      </c>
      <c r="E74" t="s">
        <v>447</v>
      </c>
      <c r="F74" s="8" t="s">
        <v>448</v>
      </c>
      <c r="H74" t="s">
        <v>97</v>
      </c>
      <c r="J74" t="s">
        <v>449</v>
      </c>
      <c r="K74" t="s">
        <v>450</v>
      </c>
      <c r="L74" t="s">
        <v>109</v>
      </c>
      <c r="M74" t="s">
        <v>294</v>
      </c>
      <c r="N74" t="s">
        <v>104</v>
      </c>
    </row>
    <row r="75" spans="1:14" x14ac:dyDescent="0.3">
      <c r="A75" s="5" t="s">
        <v>91</v>
      </c>
      <c r="B75" s="6" t="s">
        <v>103</v>
      </c>
      <c r="C75" s="7" t="s">
        <v>103</v>
      </c>
      <c r="D75" t="s">
        <v>104</v>
      </c>
      <c r="E75" t="s">
        <v>451</v>
      </c>
      <c r="F75" s="8" t="s">
        <v>452</v>
      </c>
      <c r="H75" t="s">
        <v>97</v>
      </c>
      <c r="J75" t="s">
        <v>453</v>
      </c>
      <c r="K75" t="s">
        <v>454</v>
      </c>
      <c r="L75" t="s">
        <v>109</v>
      </c>
      <c r="M75" t="s">
        <v>294</v>
      </c>
      <c r="N75" t="s">
        <v>104</v>
      </c>
    </row>
    <row r="76" spans="1:14" x14ac:dyDescent="0.3">
      <c r="A76" s="5" t="s">
        <v>91</v>
      </c>
      <c r="B76" s="6" t="s">
        <v>103</v>
      </c>
      <c r="C76" s="7" t="s">
        <v>375</v>
      </c>
      <c r="D76" t="s">
        <v>375</v>
      </c>
      <c r="E76" t="s">
        <v>455</v>
      </c>
      <c r="F76" s="8" t="s">
        <v>456</v>
      </c>
      <c r="H76" t="s">
        <v>235</v>
      </c>
      <c r="I76" t="s">
        <v>358</v>
      </c>
      <c r="J76" t="s">
        <v>457</v>
      </c>
      <c r="K76" t="s">
        <v>458</v>
      </c>
      <c r="L76" t="s">
        <v>109</v>
      </c>
      <c r="M76" t="s">
        <v>361</v>
      </c>
      <c r="N76" t="s">
        <v>361</v>
      </c>
    </row>
    <row r="77" spans="1:14" x14ac:dyDescent="0.3">
      <c r="A77" s="5" t="s">
        <v>91</v>
      </c>
      <c r="B77" s="6" t="s">
        <v>92</v>
      </c>
      <c r="C77" s="7" t="s">
        <v>375</v>
      </c>
      <c r="D77" t="s">
        <v>94</v>
      </c>
      <c r="E77" t="s">
        <v>459</v>
      </c>
      <c r="F77" s="8" t="s">
        <v>460</v>
      </c>
      <c r="H77" t="s">
        <v>235</v>
      </c>
      <c r="I77" t="s">
        <v>358</v>
      </c>
      <c r="J77" t="s">
        <v>461</v>
      </c>
      <c r="K77" t="s">
        <v>462</v>
      </c>
      <c r="L77" t="s">
        <v>109</v>
      </c>
      <c r="M77" t="s">
        <v>361</v>
      </c>
      <c r="N77" t="s">
        <v>361</v>
      </c>
    </row>
    <row r="78" spans="1:14" x14ac:dyDescent="0.3">
      <c r="A78" s="5" t="s">
        <v>91</v>
      </c>
      <c r="B78" s="6" t="s">
        <v>103</v>
      </c>
      <c r="C78" s="7" t="s">
        <v>375</v>
      </c>
      <c r="D78" t="s">
        <v>375</v>
      </c>
      <c r="E78" t="s">
        <v>463</v>
      </c>
      <c r="F78" s="8" t="s">
        <v>464</v>
      </c>
      <c r="H78" t="s">
        <v>235</v>
      </c>
      <c r="I78" t="s">
        <v>358</v>
      </c>
      <c r="J78" t="s">
        <v>465</v>
      </c>
      <c r="K78" t="s">
        <v>466</v>
      </c>
      <c r="L78" t="s">
        <v>109</v>
      </c>
      <c r="M78" t="s">
        <v>361</v>
      </c>
      <c r="N78" t="s">
        <v>361</v>
      </c>
    </row>
    <row r="79" spans="1:14" x14ac:dyDescent="0.3">
      <c r="A79" s="5" t="s">
        <v>91</v>
      </c>
      <c r="B79" s="6" t="s">
        <v>103</v>
      </c>
      <c r="C79" s="7" t="s">
        <v>380</v>
      </c>
      <c r="D79" t="s">
        <v>380</v>
      </c>
      <c r="E79" t="s">
        <v>467</v>
      </c>
      <c r="F79" s="8" t="s">
        <v>468</v>
      </c>
      <c r="H79" t="s">
        <v>97</v>
      </c>
      <c r="I79" t="s">
        <v>383</v>
      </c>
      <c r="J79" t="s">
        <v>469</v>
      </c>
      <c r="K79" t="s">
        <v>470</v>
      </c>
      <c r="L79" t="s">
        <v>109</v>
      </c>
      <c r="M79" t="s">
        <v>386</v>
      </c>
      <c r="N79" t="s">
        <v>386</v>
      </c>
    </row>
    <row r="80" spans="1:14" x14ac:dyDescent="0.3">
      <c r="A80" s="5" t="s">
        <v>91</v>
      </c>
      <c r="B80" s="6" t="s">
        <v>103</v>
      </c>
      <c r="C80" s="7" t="s">
        <v>103</v>
      </c>
      <c r="D80" t="s">
        <v>104</v>
      </c>
      <c r="E80" t="s">
        <v>471</v>
      </c>
      <c r="F80" s="8" t="s">
        <v>472</v>
      </c>
      <c r="H80" t="s">
        <v>97</v>
      </c>
      <c r="J80" t="s">
        <v>473</v>
      </c>
      <c r="K80" t="s">
        <v>474</v>
      </c>
      <c r="L80" t="s">
        <v>109</v>
      </c>
      <c r="M80" t="s">
        <v>294</v>
      </c>
      <c r="N80" t="s">
        <v>104</v>
      </c>
    </row>
    <row r="81" spans="1:14" x14ac:dyDescent="0.3">
      <c r="A81" s="5" t="s">
        <v>91</v>
      </c>
      <c r="B81" s="6" t="s">
        <v>103</v>
      </c>
      <c r="C81" s="7" t="s">
        <v>375</v>
      </c>
      <c r="D81" t="s">
        <v>375</v>
      </c>
      <c r="E81" t="s">
        <v>475</v>
      </c>
      <c r="F81" s="8" t="s">
        <v>476</v>
      </c>
      <c r="H81" t="s">
        <v>235</v>
      </c>
      <c r="I81" t="s">
        <v>358</v>
      </c>
      <c r="J81" t="s">
        <v>477</v>
      </c>
      <c r="K81" t="s">
        <v>478</v>
      </c>
      <c r="L81" t="s">
        <v>109</v>
      </c>
      <c r="M81" t="s">
        <v>361</v>
      </c>
      <c r="N81" t="s">
        <v>361</v>
      </c>
    </row>
    <row r="82" spans="1:14" x14ac:dyDescent="0.3">
      <c r="A82" s="5" t="s">
        <v>91</v>
      </c>
      <c r="B82" s="6" t="s">
        <v>92</v>
      </c>
      <c r="C82" s="7" t="s">
        <v>375</v>
      </c>
      <c r="D82" t="s">
        <v>232</v>
      </c>
      <c r="E82" t="s">
        <v>479</v>
      </c>
      <c r="F82" s="8" t="s">
        <v>480</v>
      </c>
      <c r="H82" t="s">
        <v>235</v>
      </c>
      <c r="I82" t="s">
        <v>358</v>
      </c>
      <c r="J82" t="s">
        <v>481</v>
      </c>
      <c r="K82" t="s">
        <v>482</v>
      </c>
      <c r="L82" t="s">
        <v>109</v>
      </c>
      <c r="M82" t="s">
        <v>361</v>
      </c>
      <c r="N82" t="s">
        <v>483</v>
      </c>
    </row>
    <row r="83" spans="1:14" x14ac:dyDescent="0.3">
      <c r="A83" s="5" t="s">
        <v>91</v>
      </c>
      <c r="B83" s="6" t="s">
        <v>92</v>
      </c>
      <c r="C83" s="7" t="s">
        <v>375</v>
      </c>
      <c r="D83" t="s">
        <v>232</v>
      </c>
      <c r="E83" t="s">
        <v>484</v>
      </c>
      <c r="F83" s="8" t="s">
        <v>485</v>
      </c>
      <c r="H83" t="s">
        <v>235</v>
      </c>
      <c r="I83" t="s">
        <v>358</v>
      </c>
      <c r="J83" t="s">
        <v>486</v>
      </c>
      <c r="K83" t="s">
        <v>487</v>
      </c>
      <c r="L83" t="s">
        <v>109</v>
      </c>
      <c r="M83" t="s">
        <v>361</v>
      </c>
      <c r="N83" t="s">
        <v>483</v>
      </c>
    </row>
    <row r="84" spans="1:14" x14ac:dyDescent="0.3">
      <c r="A84" s="5" t="s">
        <v>91</v>
      </c>
      <c r="B84" s="6" t="s">
        <v>92</v>
      </c>
      <c r="C84" s="7" t="s">
        <v>375</v>
      </c>
      <c r="D84" t="s">
        <v>232</v>
      </c>
      <c r="E84" t="s">
        <v>488</v>
      </c>
      <c r="F84" s="8" t="s">
        <v>489</v>
      </c>
      <c r="H84" t="s">
        <v>235</v>
      </c>
      <c r="I84" t="s">
        <v>358</v>
      </c>
      <c r="J84" t="s">
        <v>490</v>
      </c>
      <c r="K84" t="s">
        <v>491</v>
      </c>
      <c r="L84" t="s">
        <v>109</v>
      </c>
      <c r="M84" t="s">
        <v>361</v>
      </c>
      <c r="N84" t="s">
        <v>483</v>
      </c>
    </row>
    <row r="85" spans="1:14" x14ac:dyDescent="0.3">
      <c r="A85" s="5" t="s">
        <v>91</v>
      </c>
      <c r="B85" s="6" t="s">
        <v>103</v>
      </c>
      <c r="C85" s="7" t="s">
        <v>380</v>
      </c>
      <c r="D85" t="s">
        <v>380</v>
      </c>
      <c r="E85" t="s">
        <v>492</v>
      </c>
      <c r="F85" s="12" t="s">
        <v>493</v>
      </c>
      <c r="G85" s="11"/>
      <c r="H85" t="s">
        <v>97</v>
      </c>
      <c r="I85" t="s">
        <v>383</v>
      </c>
      <c r="J85" t="s">
        <v>494</v>
      </c>
      <c r="K85" t="s">
        <v>470</v>
      </c>
      <c r="L85" t="s">
        <v>109</v>
      </c>
      <c r="M85" t="s">
        <v>386</v>
      </c>
      <c r="N85" t="s">
        <v>386</v>
      </c>
    </row>
    <row r="86" spans="1:14" x14ac:dyDescent="0.3">
      <c r="A86" s="5" t="s">
        <v>91</v>
      </c>
      <c r="B86" s="6" t="s">
        <v>103</v>
      </c>
      <c r="C86" s="7" t="s">
        <v>380</v>
      </c>
      <c r="D86" t="s">
        <v>380</v>
      </c>
      <c r="E86" t="s">
        <v>495</v>
      </c>
      <c r="F86" s="8" t="s">
        <v>496</v>
      </c>
      <c r="H86" t="s">
        <v>97</v>
      </c>
      <c r="I86" t="s">
        <v>383</v>
      </c>
      <c r="J86" t="s">
        <v>497</v>
      </c>
      <c r="K86" t="s">
        <v>470</v>
      </c>
      <c r="L86" t="s">
        <v>109</v>
      </c>
      <c r="M86" t="s">
        <v>386</v>
      </c>
      <c r="N86" t="s">
        <v>386</v>
      </c>
    </row>
    <row r="87" spans="1:14" x14ac:dyDescent="0.3">
      <c r="A87" s="5" t="s">
        <v>91</v>
      </c>
      <c r="B87" s="6" t="s">
        <v>103</v>
      </c>
      <c r="C87" s="7" t="s">
        <v>380</v>
      </c>
      <c r="D87" t="s">
        <v>380</v>
      </c>
      <c r="E87" t="s">
        <v>498</v>
      </c>
      <c r="F87" s="8" t="s">
        <v>499</v>
      </c>
      <c r="H87" t="s">
        <v>97</v>
      </c>
      <c r="I87" t="s">
        <v>383</v>
      </c>
      <c r="J87" t="s">
        <v>500</v>
      </c>
      <c r="K87" t="s">
        <v>470</v>
      </c>
      <c r="L87" t="s">
        <v>109</v>
      </c>
      <c r="M87" t="s">
        <v>386</v>
      </c>
      <c r="N87" t="s">
        <v>386</v>
      </c>
    </row>
    <row r="88" spans="1:14" x14ac:dyDescent="0.3">
      <c r="A88" s="5" t="s">
        <v>91</v>
      </c>
      <c r="B88" s="6" t="s">
        <v>103</v>
      </c>
      <c r="C88" s="7" t="s">
        <v>375</v>
      </c>
      <c r="D88" t="s">
        <v>375</v>
      </c>
      <c r="E88" t="s">
        <v>501</v>
      </c>
      <c r="F88" s="8" t="s">
        <v>502</v>
      </c>
      <c r="H88" t="s">
        <v>235</v>
      </c>
      <c r="I88" t="s">
        <v>358</v>
      </c>
      <c r="J88" t="s">
        <v>503</v>
      </c>
      <c r="K88" t="s">
        <v>504</v>
      </c>
      <c r="L88" t="s">
        <v>109</v>
      </c>
      <c r="M88" t="s">
        <v>361</v>
      </c>
      <c r="N88" t="s">
        <v>361</v>
      </c>
    </row>
    <row r="89" spans="1:14" x14ac:dyDescent="0.3">
      <c r="A89" s="5" t="s">
        <v>91</v>
      </c>
      <c r="B89" s="6" t="s">
        <v>92</v>
      </c>
      <c r="C89" s="7" t="s">
        <v>375</v>
      </c>
      <c r="D89" t="s">
        <v>232</v>
      </c>
      <c r="E89" t="s">
        <v>505</v>
      </c>
      <c r="F89" s="8" t="s">
        <v>506</v>
      </c>
      <c r="H89" t="s">
        <v>235</v>
      </c>
      <c r="J89" t="s">
        <v>507</v>
      </c>
      <c r="K89" t="s">
        <v>508</v>
      </c>
      <c r="L89" t="s">
        <v>109</v>
      </c>
      <c r="M89" t="s">
        <v>509</v>
      </c>
      <c r="N89" t="s">
        <v>510</v>
      </c>
    </row>
    <row r="90" spans="1:14" x14ac:dyDescent="0.3">
      <c r="A90" s="5" t="s">
        <v>91</v>
      </c>
      <c r="B90" s="6" t="s">
        <v>103</v>
      </c>
      <c r="C90" s="7" t="s">
        <v>103</v>
      </c>
      <c r="D90" t="s">
        <v>104</v>
      </c>
      <c r="E90" t="s">
        <v>511</v>
      </c>
      <c r="F90" s="8" t="s">
        <v>512</v>
      </c>
      <c r="H90" t="s">
        <v>97</v>
      </c>
      <c r="J90" t="s">
        <v>513</v>
      </c>
      <c r="K90" t="s">
        <v>514</v>
      </c>
      <c r="L90" t="s">
        <v>109</v>
      </c>
      <c r="M90" t="s">
        <v>294</v>
      </c>
      <c r="N90" t="s">
        <v>104</v>
      </c>
    </row>
    <row r="91" spans="1:14" x14ac:dyDescent="0.3">
      <c r="A91" s="5" t="s">
        <v>91</v>
      </c>
      <c r="B91" s="6" t="s">
        <v>103</v>
      </c>
      <c r="C91" s="7" t="s">
        <v>380</v>
      </c>
      <c r="D91" t="s">
        <v>380</v>
      </c>
      <c r="E91" t="s">
        <v>515</v>
      </c>
      <c r="F91" s="8" t="s">
        <v>516</v>
      </c>
      <c r="H91" t="s">
        <v>97</v>
      </c>
      <c r="I91" t="s">
        <v>383</v>
      </c>
      <c r="J91" t="s">
        <v>517</v>
      </c>
      <c r="K91" t="s">
        <v>470</v>
      </c>
      <c r="L91" t="s">
        <v>109</v>
      </c>
      <c r="M91" t="s">
        <v>386</v>
      </c>
      <c r="N91" t="s">
        <v>386</v>
      </c>
    </row>
    <row r="92" spans="1:14" x14ac:dyDescent="0.3">
      <c r="A92" s="5" t="s">
        <v>91</v>
      </c>
      <c r="B92" s="6" t="s">
        <v>103</v>
      </c>
      <c r="C92" s="7" t="s">
        <v>375</v>
      </c>
      <c r="D92" t="s">
        <v>375</v>
      </c>
      <c r="E92" t="s">
        <v>518</v>
      </c>
      <c r="F92" s="8" t="s">
        <v>519</v>
      </c>
      <c r="H92" t="s">
        <v>235</v>
      </c>
      <c r="I92" t="s">
        <v>358</v>
      </c>
      <c r="J92" t="s">
        <v>520</v>
      </c>
      <c r="K92" t="s">
        <v>521</v>
      </c>
      <c r="L92" t="s">
        <v>109</v>
      </c>
      <c r="M92" t="s">
        <v>361</v>
      </c>
      <c r="N92" t="s">
        <v>361</v>
      </c>
    </row>
    <row r="93" spans="1:14" x14ac:dyDescent="0.3">
      <c r="A93" s="5" t="s">
        <v>91</v>
      </c>
      <c r="B93" s="6" t="s">
        <v>103</v>
      </c>
      <c r="C93" s="7" t="s">
        <v>103</v>
      </c>
      <c r="D93" t="s">
        <v>104</v>
      </c>
      <c r="E93" t="s">
        <v>522</v>
      </c>
      <c r="F93" s="8" t="s">
        <v>523</v>
      </c>
      <c r="H93" t="s">
        <v>97</v>
      </c>
      <c r="J93" t="s">
        <v>524</v>
      </c>
      <c r="K93" t="s">
        <v>525</v>
      </c>
      <c r="L93" t="s">
        <v>109</v>
      </c>
      <c r="M93" t="s">
        <v>294</v>
      </c>
      <c r="N93" t="s">
        <v>104</v>
      </c>
    </row>
    <row r="94" spans="1:14" x14ac:dyDescent="0.3">
      <c r="A94" s="5" t="s">
        <v>91</v>
      </c>
      <c r="B94" s="6" t="s">
        <v>103</v>
      </c>
      <c r="C94" s="7" t="s">
        <v>375</v>
      </c>
      <c r="D94" t="s">
        <v>375</v>
      </c>
      <c r="E94" t="s">
        <v>526</v>
      </c>
      <c r="F94" s="8" t="s">
        <v>527</v>
      </c>
      <c r="H94" t="s">
        <v>235</v>
      </c>
      <c r="I94" t="s">
        <v>358</v>
      </c>
      <c r="J94" t="s">
        <v>528</v>
      </c>
      <c r="K94" t="s">
        <v>529</v>
      </c>
      <c r="L94" t="s">
        <v>109</v>
      </c>
      <c r="M94" t="s">
        <v>361</v>
      </c>
      <c r="N94" t="s">
        <v>361</v>
      </c>
    </row>
    <row r="95" spans="1:14" x14ac:dyDescent="0.3">
      <c r="A95" s="5" t="s">
        <v>91</v>
      </c>
      <c r="B95" s="6" t="s">
        <v>103</v>
      </c>
      <c r="C95" s="7" t="s">
        <v>103</v>
      </c>
      <c r="D95" t="s">
        <v>104</v>
      </c>
      <c r="E95" t="s">
        <v>530</v>
      </c>
      <c r="F95" s="8" t="s">
        <v>531</v>
      </c>
      <c r="H95" t="s">
        <v>97</v>
      </c>
      <c r="J95" t="s">
        <v>532</v>
      </c>
      <c r="K95" t="s">
        <v>533</v>
      </c>
      <c r="L95" t="s">
        <v>109</v>
      </c>
      <c r="M95" t="s">
        <v>294</v>
      </c>
      <c r="N95" t="s">
        <v>104</v>
      </c>
    </row>
    <row r="96" spans="1:14" x14ac:dyDescent="0.3">
      <c r="A96" s="5" t="s">
        <v>91</v>
      </c>
      <c r="B96" s="6" t="s">
        <v>103</v>
      </c>
      <c r="C96" s="7" t="s">
        <v>380</v>
      </c>
      <c r="D96" t="s">
        <v>380</v>
      </c>
      <c r="E96" t="s">
        <v>534</v>
      </c>
      <c r="F96" s="8" t="s">
        <v>535</v>
      </c>
      <c r="H96" t="s">
        <v>97</v>
      </c>
      <c r="I96" t="s">
        <v>383</v>
      </c>
      <c r="J96" t="s">
        <v>536</v>
      </c>
      <c r="K96" t="s">
        <v>470</v>
      </c>
      <c r="L96" t="s">
        <v>109</v>
      </c>
      <c r="M96" t="s">
        <v>386</v>
      </c>
      <c r="N96" t="s">
        <v>386</v>
      </c>
    </row>
    <row r="97" spans="1:14" x14ac:dyDescent="0.3">
      <c r="A97" s="5" t="s">
        <v>91</v>
      </c>
      <c r="B97" s="6" t="s">
        <v>92</v>
      </c>
      <c r="C97" s="7" t="s">
        <v>375</v>
      </c>
      <c r="D97" t="s">
        <v>375</v>
      </c>
      <c r="E97" t="s">
        <v>537</v>
      </c>
      <c r="F97" s="8" t="s">
        <v>538</v>
      </c>
      <c r="H97" t="s">
        <v>235</v>
      </c>
      <c r="I97" t="s">
        <v>358</v>
      </c>
      <c r="J97" t="s">
        <v>539</v>
      </c>
      <c r="K97" t="s">
        <v>540</v>
      </c>
      <c r="L97" t="s">
        <v>109</v>
      </c>
      <c r="M97" t="s">
        <v>361</v>
      </c>
      <c r="N97" t="s">
        <v>361</v>
      </c>
    </row>
    <row r="98" spans="1:14" x14ac:dyDescent="0.3">
      <c r="A98" s="5" t="s">
        <v>91</v>
      </c>
      <c r="B98" s="6" t="s">
        <v>92</v>
      </c>
      <c r="C98" s="7" t="s">
        <v>375</v>
      </c>
      <c r="D98" t="s">
        <v>375</v>
      </c>
      <c r="E98" t="s">
        <v>541</v>
      </c>
      <c r="F98" s="8" t="s">
        <v>542</v>
      </c>
      <c r="H98" t="s">
        <v>235</v>
      </c>
      <c r="I98" t="s">
        <v>358</v>
      </c>
      <c r="J98" t="s">
        <v>543</v>
      </c>
      <c r="K98" t="s">
        <v>544</v>
      </c>
      <c r="L98" t="s">
        <v>109</v>
      </c>
      <c r="M98" t="s">
        <v>361</v>
      </c>
      <c r="N98" t="s">
        <v>361</v>
      </c>
    </row>
    <row r="99" spans="1:14" x14ac:dyDescent="0.3">
      <c r="A99" s="5" t="s">
        <v>91</v>
      </c>
      <c r="B99" s="6" t="s">
        <v>92</v>
      </c>
      <c r="C99" s="7" t="s">
        <v>375</v>
      </c>
      <c r="D99" t="s">
        <v>375</v>
      </c>
      <c r="E99" t="s">
        <v>545</v>
      </c>
      <c r="F99" s="8" t="s">
        <v>546</v>
      </c>
      <c r="H99" t="s">
        <v>235</v>
      </c>
      <c r="I99" t="s">
        <v>358</v>
      </c>
      <c r="J99" t="s">
        <v>547</v>
      </c>
      <c r="K99" t="s">
        <v>548</v>
      </c>
      <c r="L99" t="s">
        <v>109</v>
      </c>
      <c r="M99" t="s">
        <v>361</v>
      </c>
      <c r="N99" t="s">
        <v>361</v>
      </c>
    </row>
    <row r="100" spans="1:14" x14ac:dyDescent="0.3">
      <c r="A100" s="5" t="s">
        <v>91</v>
      </c>
      <c r="B100" s="6" t="s">
        <v>92</v>
      </c>
      <c r="C100" s="7" t="s">
        <v>375</v>
      </c>
      <c r="D100" t="s">
        <v>375</v>
      </c>
      <c r="E100" t="s">
        <v>549</v>
      </c>
      <c r="F100" s="8" t="s">
        <v>550</v>
      </c>
      <c r="H100" t="s">
        <v>235</v>
      </c>
      <c r="I100" t="s">
        <v>358</v>
      </c>
      <c r="J100" t="s">
        <v>551</v>
      </c>
      <c r="K100" t="s">
        <v>552</v>
      </c>
      <c r="L100" t="s">
        <v>109</v>
      </c>
      <c r="M100" t="s">
        <v>361</v>
      </c>
      <c r="N100" t="s">
        <v>361</v>
      </c>
    </row>
    <row r="101" spans="1:14" x14ac:dyDescent="0.3">
      <c r="A101" s="5" t="s">
        <v>91</v>
      </c>
      <c r="B101" s="6" t="s">
        <v>103</v>
      </c>
      <c r="C101" s="7" t="s">
        <v>103</v>
      </c>
      <c r="D101" t="s">
        <v>104</v>
      </c>
      <c r="E101" t="s">
        <v>553</v>
      </c>
      <c r="F101" s="8" t="s">
        <v>554</v>
      </c>
      <c r="H101" t="s">
        <v>97</v>
      </c>
      <c r="J101" t="s">
        <v>555</v>
      </c>
      <c r="K101" t="s">
        <v>556</v>
      </c>
      <c r="L101" t="s">
        <v>109</v>
      </c>
      <c r="M101" t="s">
        <v>294</v>
      </c>
      <c r="N101" t="s">
        <v>104</v>
      </c>
    </row>
    <row r="102" spans="1:14" x14ac:dyDescent="0.3">
      <c r="A102" s="5" t="s">
        <v>91</v>
      </c>
      <c r="B102" s="6" t="s">
        <v>103</v>
      </c>
      <c r="C102" s="7" t="s">
        <v>375</v>
      </c>
      <c r="D102" t="s">
        <v>375</v>
      </c>
      <c r="E102" t="s">
        <v>557</v>
      </c>
      <c r="F102" s="8" t="s">
        <v>558</v>
      </c>
      <c r="H102" t="s">
        <v>235</v>
      </c>
      <c r="I102" t="s">
        <v>358</v>
      </c>
      <c r="J102" t="s">
        <v>559</v>
      </c>
      <c r="K102" t="s">
        <v>560</v>
      </c>
      <c r="L102" t="s">
        <v>109</v>
      </c>
      <c r="M102" t="s">
        <v>361</v>
      </c>
      <c r="N102" t="s">
        <v>361</v>
      </c>
    </row>
    <row r="103" spans="1:14" x14ac:dyDescent="0.3">
      <c r="A103" s="5" t="s">
        <v>91</v>
      </c>
      <c r="B103" s="6" t="s">
        <v>103</v>
      </c>
      <c r="C103" s="7" t="s">
        <v>93</v>
      </c>
      <c r="D103" t="s">
        <v>104</v>
      </c>
      <c r="E103" t="s">
        <v>561</v>
      </c>
      <c r="F103" s="8" t="s">
        <v>562</v>
      </c>
      <c r="H103" t="s">
        <v>97</v>
      </c>
      <c r="J103" t="s">
        <v>563</v>
      </c>
      <c r="K103" t="s">
        <v>564</v>
      </c>
      <c r="L103" t="s">
        <v>109</v>
      </c>
      <c r="M103" t="s">
        <v>183</v>
      </c>
      <c r="N103" t="s">
        <v>102</v>
      </c>
    </row>
    <row r="104" spans="1:14" x14ac:dyDescent="0.3">
      <c r="A104" s="5" t="s">
        <v>91</v>
      </c>
      <c r="B104" s="6" t="s">
        <v>92</v>
      </c>
      <c r="C104" s="7" t="s">
        <v>92</v>
      </c>
      <c r="D104" t="s">
        <v>94</v>
      </c>
      <c r="E104" t="s">
        <v>565</v>
      </c>
      <c r="F104" s="8" t="s">
        <v>566</v>
      </c>
      <c r="H104" t="s">
        <v>97</v>
      </c>
      <c r="I104" t="s">
        <v>567</v>
      </c>
      <c r="J104" t="s">
        <v>568</v>
      </c>
      <c r="K104" t="s">
        <v>569</v>
      </c>
      <c r="L104" t="s">
        <v>570</v>
      </c>
      <c r="M104" t="s">
        <v>139</v>
      </c>
      <c r="N104" t="s">
        <v>571</v>
      </c>
    </row>
    <row r="105" spans="1:14" x14ac:dyDescent="0.3">
      <c r="A105" s="5" t="s">
        <v>91</v>
      </c>
      <c r="B105" s="6" t="s">
        <v>92</v>
      </c>
      <c r="C105" s="7" t="s">
        <v>92</v>
      </c>
      <c r="D105" t="s">
        <v>232</v>
      </c>
      <c r="E105" t="s">
        <v>572</v>
      </c>
      <c r="F105" s="8" t="s">
        <v>573</v>
      </c>
      <c r="H105" t="s">
        <v>235</v>
      </c>
      <c r="I105" t="s">
        <v>236</v>
      </c>
      <c r="J105" t="s">
        <v>574</v>
      </c>
      <c r="K105" t="s">
        <v>575</v>
      </c>
      <c r="L105" t="s">
        <v>576</v>
      </c>
      <c r="M105" t="s">
        <v>239</v>
      </c>
      <c r="N105" t="s">
        <v>239</v>
      </c>
    </row>
    <row r="106" spans="1:14" x14ac:dyDescent="0.3">
      <c r="A106" s="5" t="s">
        <v>91</v>
      </c>
      <c r="B106" s="6" t="s">
        <v>103</v>
      </c>
      <c r="C106" s="7" t="s">
        <v>133</v>
      </c>
      <c r="D106" t="s">
        <v>133</v>
      </c>
      <c r="E106" t="s">
        <v>577</v>
      </c>
      <c r="F106" s="8" t="s">
        <v>578</v>
      </c>
      <c r="H106" t="s">
        <v>97</v>
      </c>
      <c r="I106" t="s">
        <v>579</v>
      </c>
      <c r="J106" t="s">
        <v>580</v>
      </c>
      <c r="K106" t="s">
        <v>581</v>
      </c>
      <c r="L106" t="s">
        <v>582</v>
      </c>
      <c r="M106" t="s">
        <v>583</v>
      </c>
      <c r="N106" t="s">
        <v>583</v>
      </c>
    </row>
    <row r="107" spans="1:14" x14ac:dyDescent="0.3">
      <c r="A107" s="5" t="s">
        <v>91</v>
      </c>
      <c r="B107" s="6" t="s">
        <v>103</v>
      </c>
      <c r="C107" s="7" t="s">
        <v>103</v>
      </c>
      <c r="D107" t="s">
        <v>133</v>
      </c>
      <c r="E107" t="s">
        <v>584</v>
      </c>
      <c r="F107" s="12" t="s">
        <v>585</v>
      </c>
      <c r="G107" s="11" t="s">
        <v>586</v>
      </c>
      <c r="H107" t="s">
        <v>97</v>
      </c>
      <c r="J107" t="s">
        <v>587</v>
      </c>
      <c r="K107" t="s">
        <v>588</v>
      </c>
      <c r="L107" t="s">
        <v>144</v>
      </c>
      <c r="M107" t="s">
        <v>324</v>
      </c>
    </row>
    <row r="108" spans="1:14" x14ac:dyDescent="0.3">
      <c r="A108" s="5" t="s">
        <v>91</v>
      </c>
      <c r="B108" s="6" t="s">
        <v>103</v>
      </c>
      <c r="C108" s="7" t="s">
        <v>133</v>
      </c>
      <c r="D108" t="s">
        <v>133</v>
      </c>
      <c r="E108" t="s">
        <v>589</v>
      </c>
      <c r="F108" s="8" t="s">
        <v>590</v>
      </c>
      <c r="H108" t="s">
        <v>97</v>
      </c>
      <c r="J108" t="s">
        <v>591</v>
      </c>
      <c r="K108" t="s">
        <v>592</v>
      </c>
      <c r="L108" t="s">
        <v>582</v>
      </c>
      <c r="M108" t="s">
        <v>583</v>
      </c>
      <c r="N108" t="s">
        <v>583</v>
      </c>
    </row>
    <row r="109" spans="1:14" x14ac:dyDescent="0.3">
      <c r="A109" s="5" t="s">
        <v>91</v>
      </c>
      <c r="B109" s="6" t="s">
        <v>103</v>
      </c>
      <c r="C109" s="7" t="s">
        <v>133</v>
      </c>
      <c r="D109" t="s">
        <v>133</v>
      </c>
      <c r="E109" t="s">
        <v>593</v>
      </c>
      <c r="F109" s="8" t="s">
        <v>594</v>
      </c>
      <c r="H109" t="s">
        <v>97</v>
      </c>
      <c r="I109" t="s">
        <v>595</v>
      </c>
      <c r="J109" t="s">
        <v>591</v>
      </c>
      <c r="K109" t="s">
        <v>596</v>
      </c>
      <c r="L109" t="s">
        <v>582</v>
      </c>
      <c r="M109" t="s">
        <v>583</v>
      </c>
      <c r="N109" t="s">
        <v>583</v>
      </c>
    </row>
    <row r="110" spans="1:14" x14ac:dyDescent="0.3">
      <c r="A110" s="5" t="s">
        <v>112</v>
      </c>
      <c r="B110" s="6" t="s">
        <v>103</v>
      </c>
      <c r="C110" s="7" t="s">
        <v>103</v>
      </c>
      <c r="D110" t="s">
        <v>123</v>
      </c>
      <c r="E110" s="13" t="s">
        <v>597</v>
      </c>
      <c r="F110" s="9" t="s">
        <v>597</v>
      </c>
      <c r="G110" s="10"/>
      <c r="H110" t="s">
        <v>123</v>
      </c>
      <c r="I110" t="s">
        <v>579</v>
      </c>
      <c r="J110" t="s">
        <v>598</v>
      </c>
      <c r="K110" t="s">
        <v>599</v>
      </c>
      <c r="L110" t="s">
        <v>109</v>
      </c>
      <c r="M110" t="s">
        <v>600</v>
      </c>
      <c r="N110" t="s">
        <v>601</v>
      </c>
    </row>
    <row r="111" spans="1:14" x14ac:dyDescent="0.3">
      <c r="A111" s="5" t="s">
        <v>91</v>
      </c>
      <c r="B111" s="6" t="s">
        <v>103</v>
      </c>
      <c r="C111" s="7" t="s">
        <v>93</v>
      </c>
      <c r="D111" t="s">
        <v>104</v>
      </c>
      <c r="E111" t="s">
        <v>602</v>
      </c>
      <c r="F111" s="14" t="s">
        <v>603</v>
      </c>
      <c r="G111" s="15" t="s">
        <v>604</v>
      </c>
      <c r="H111" t="s">
        <v>97</v>
      </c>
      <c r="J111" t="s">
        <v>605</v>
      </c>
      <c r="K111" t="s">
        <v>606</v>
      </c>
      <c r="L111" t="s">
        <v>607</v>
      </c>
      <c r="M111" t="s">
        <v>183</v>
      </c>
      <c r="N111" t="s">
        <v>608</v>
      </c>
    </row>
    <row r="112" spans="1:14" x14ac:dyDescent="0.3">
      <c r="A112" s="5" t="s">
        <v>91</v>
      </c>
      <c r="B112" s="6" t="s">
        <v>103</v>
      </c>
      <c r="C112" s="7" t="s">
        <v>93</v>
      </c>
      <c r="D112" t="s">
        <v>104</v>
      </c>
      <c r="E112" t="s">
        <v>609</v>
      </c>
      <c r="F112" s="14" t="s">
        <v>610</v>
      </c>
      <c r="G112" s="15" t="s">
        <v>604</v>
      </c>
      <c r="H112" t="s">
        <v>97</v>
      </c>
      <c r="J112" t="s">
        <v>605</v>
      </c>
      <c r="K112" t="s">
        <v>611</v>
      </c>
      <c r="L112" t="s">
        <v>109</v>
      </c>
      <c r="M112" t="s">
        <v>183</v>
      </c>
      <c r="N112" t="s">
        <v>102</v>
      </c>
    </row>
    <row r="113" spans="1:14" x14ac:dyDescent="0.3">
      <c r="A113" s="5" t="s">
        <v>91</v>
      </c>
      <c r="B113" s="6" t="s">
        <v>92</v>
      </c>
      <c r="C113" s="7" t="s">
        <v>92</v>
      </c>
      <c r="D113" t="s">
        <v>612</v>
      </c>
      <c r="E113" t="s">
        <v>613</v>
      </c>
      <c r="F113" s="8" t="s">
        <v>614</v>
      </c>
      <c r="H113" t="s">
        <v>97</v>
      </c>
      <c r="J113" t="s">
        <v>615</v>
      </c>
      <c r="K113" t="s">
        <v>616</v>
      </c>
      <c r="L113" t="s">
        <v>189</v>
      </c>
      <c r="M113" t="s">
        <v>617</v>
      </c>
      <c r="N113" t="s">
        <v>618</v>
      </c>
    </row>
    <row r="114" spans="1:14" x14ac:dyDescent="0.3">
      <c r="A114" s="5" t="s">
        <v>91</v>
      </c>
      <c r="B114" s="6" t="s">
        <v>92</v>
      </c>
      <c r="C114" s="7" t="s">
        <v>92</v>
      </c>
      <c r="D114" t="s">
        <v>612</v>
      </c>
      <c r="E114" t="s">
        <v>619</v>
      </c>
      <c r="F114" s="8" t="s">
        <v>620</v>
      </c>
      <c r="H114" t="s">
        <v>97</v>
      </c>
      <c r="J114" t="s">
        <v>621</v>
      </c>
      <c r="K114" t="s">
        <v>622</v>
      </c>
      <c r="L114" t="s">
        <v>623</v>
      </c>
      <c r="M114" t="s">
        <v>617</v>
      </c>
      <c r="N114" t="s">
        <v>618</v>
      </c>
    </row>
    <row r="115" spans="1:14" x14ac:dyDescent="0.3">
      <c r="A115" s="5" t="s">
        <v>91</v>
      </c>
      <c r="B115" s="6" t="s">
        <v>92</v>
      </c>
      <c r="C115" s="7" t="s">
        <v>92</v>
      </c>
      <c r="D115" t="s">
        <v>612</v>
      </c>
      <c r="E115" t="s">
        <v>624</v>
      </c>
      <c r="F115" s="12" t="s">
        <v>625</v>
      </c>
      <c r="G115" s="11"/>
      <c r="H115" t="s">
        <v>235</v>
      </c>
      <c r="I115" t="s">
        <v>236</v>
      </c>
      <c r="J115" t="s">
        <v>626</v>
      </c>
      <c r="K115" t="s">
        <v>627</v>
      </c>
      <c r="L115" t="s">
        <v>109</v>
      </c>
      <c r="M115" t="s">
        <v>239</v>
      </c>
      <c r="N115" t="s">
        <v>628</v>
      </c>
    </row>
    <row r="116" spans="1:14" x14ac:dyDescent="0.3">
      <c r="A116" s="5" t="s">
        <v>91</v>
      </c>
      <c r="B116" s="6" t="s">
        <v>103</v>
      </c>
      <c r="C116" s="7" t="s">
        <v>103</v>
      </c>
      <c r="D116" t="s">
        <v>104</v>
      </c>
      <c r="E116" t="s">
        <v>629</v>
      </c>
      <c r="F116" s="8" t="s">
        <v>630</v>
      </c>
      <c r="H116" t="s">
        <v>97</v>
      </c>
      <c r="J116" t="s">
        <v>631</v>
      </c>
      <c r="K116" t="s">
        <v>632</v>
      </c>
      <c r="L116" t="s">
        <v>570</v>
      </c>
      <c r="M116" t="s">
        <v>324</v>
      </c>
      <c r="N116" t="s">
        <v>633</v>
      </c>
    </row>
    <row r="117" spans="1:14" x14ac:dyDescent="0.3">
      <c r="A117" s="5" t="s">
        <v>91</v>
      </c>
      <c r="B117" s="6" t="s">
        <v>103</v>
      </c>
      <c r="C117" s="7" t="s">
        <v>103</v>
      </c>
      <c r="D117" t="s">
        <v>134</v>
      </c>
      <c r="E117" t="s">
        <v>634</v>
      </c>
      <c r="F117" s="8" t="s">
        <v>635</v>
      </c>
      <c r="H117" t="s">
        <v>97</v>
      </c>
      <c r="J117" t="s">
        <v>636</v>
      </c>
      <c r="K117" t="s">
        <v>637</v>
      </c>
      <c r="L117" t="s">
        <v>582</v>
      </c>
      <c r="M117" t="s">
        <v>638</v>
      </c>
      <c r="N117" t="s">
        <v>639</v>
      </c>
    </row>
    <row r="118" spans="1:14" x14ac:dyDescent="0.3">
      <c r="A118" s="5" t="s">
        <v>91</v>
      </c>
      <c r="B118" s="6" t="s">
        <v>103</v>
      </c>
      <c r="C118" s="7" t="s">
        <v>103</v>
      </c>
      <c r="D118" t="s">
        <v>104</v>
      </c>
      <c r="E118" t="s">
        <v>640</v>
      </c>
      <c r="F118" s="8" t="s">
        <v>641</v>
      </c>
      <c r="H118" t="s">
        <v>97</v>
      </c>
      <c r="J118" t="s">
        <v>642</v>
      </c>
      <c r="K118" t="s">
        <v>643</v>
      </c>
      <c r="L118" t="s">
        <v>109</v>
      </c>
      <c r="M118" t="s">
        <v>110</v>
      </c>
      <c r="N118" t="s">
        <v>111</v>
      </c>
    </row>
    <row r="119" spans="1:14" x14ac:dyDescent="0.3">
      <c r="A119" s="5" t="s">
        <v>91</v>
      </c>
      <c r="B119" s="6" t="s">
        <v>103</v>
      </c>
      <c r="C119" s="7" t="s">
        <v>93</v>
      </c>
      <c r="D119" t="s">
        <v>104</v>
      </c>
      <c r="E119" t="s">
        <v>644</v>
      </c>
      <c r="F119" s="8" t="s">
        <v>645</v>
      </c>
      <c r="H119" t="s">
        <v>97</v>
      </c>
      <c r="J119" t="s">
        <v>646</v>
      </c>
      <c r="K119" t="s">
        <v>647</v>
      </c>
      <c r="L119" t="s">
        <v>109</v>
      </c>
      <c r="M119" t="s">
        <v>183</v>
      </c>
      <c r="N119" t="s">
        <v>102</v>
      </c>
    </row>
    <row r="120" spans="1:14" x14ac:dyDescent="0.3">
      <c r="A120" s="5" t="s">
        <v>91</v>
      </c>
      <c r="B120" s="6" t="s">
        <v>92</v>
      </c>
      <c r="C120" s="7" t="s">
        <v>92</v>
      </c>
      <c r="D120" t="s">
        <v>76</v>
      </c>
      <c r="E120" t="s">
        <v>648</v>
      </c>
      <c r="F120" s="8" t="s">
        <v>649</v>
      </c>
      <c r="H120" t="s">
        <v>97</v>
      </c>
      <c r="J120" t="s">
        <v>650</v>
      </c>
      <c r="K120" t="s">
        <v>651</v>
      </c>
      <c r="L120" t="s">
        <v>109</v>
      </c>
      <c r="M120" t="s">
        <v>177</v>
      </c>
      <c r="N120" t="s">
        <v>178</v>
      </c>
    </row>
    <row r="121" spans="1:14" x14ac:dyDescent="0.3">
      <c r="A121" s="5" t="s">
        <v>91</v>
      </c>
      <c r="B121" s="6" t="s">
        <v>92</v>
      </c>
      <c r="C121" s="7" t="s">
        <v>92</v>
      </c>
      <c r="D121" t="s">
        <v>232</v>
      </c>
      <c r="E121" t="s">
        <v>652</v>
      </c>
      <c r="F121" s="8" t="s">
        <v>653</v>
      </c>
      <c r="H121" t="s">
        <v>97</v>
      </c>
      <c r="J121" t="s">
        <v>654</v>
      </c>
      <c r="K121" t="s">
        <v>655</v>
      </c>
      <c r="L121" t="s">
        <v>259</v>
      </c>
      <c r="M121" t="s">
        <v>324</v>
      </c>
      <c r="N121" t="s">
        <v>656</v>
      </c>
    </row>
    <row r="122" spans="1:14" x14ac:dyDescent="0.3">
      <c r="A122" s="5" t="s">
        <v>91</v>
      </c>
      <c r="B122" s="6" t="s">
        <v>103</v>
      </c>
      <c r="C122" s="7" t="s">
        <v>103</v>
      </c>
      <c r="D122" t="s">
        <v>104</v>
      </c>
      <c r="E122" t="s">
        <v>657</v>
      </c>
      <c r="F122" s="8" t="s">
        <v>658</v>
      </c>
      <c r="H122" t="s">
        <v>97</v>
      </c>
      <c r="J122" t="s">
        <v>659</v>
      </c>
      <c r="K122" t="s">
        <v>660</v>
      </c>
      <c r="L122" t="s">
        <v>109</v>
      </c>
      <c r="M122" t="s">
        <v>110</v>
      </c>
      <c r="N122" t="s">
        <v>111</v>
      </c>
    </row>
    <row r="123" spans="1:14" x14ac:dyDescent="0.3">
      <c r="A123" s="5" t="s">
        <v>91</v>
      </c>
      <c r="B123" s="6" t="s">
        <v>103</v>
      </c>
      <c r="C123" s="7" t="s">
        <v>253</v>
      </c>
      <c r="D123" t="s">
        <v>133</v>
      </c>
      <c r="E123" t="s">
        <v>661</v>
      </c>
      <c r="F123" s="8" t="s">
        <v>662</v>
      </c>
      <c r="H123" t="s">
        <v>97</v>
      </c>
      <c r="I123" t="s">
        <v>256</v>
      </c>
      <c r="J123" t="s">
        <v>663</v>
      </c>
      <c r="K123" t="s">
        <v>664</v>
      </c>
      <c r="L123" t="s">
        <v>259</v>
      </c>
      <c r="M123" t="s">
        <v>260</v>
      </c>
      <c r="N123" t="s">
        <v>260</v>
      </c>
    </row>
    <row r="124" spans="1:14" x14ac:dyDescent="0.3">
      <c r="A124" s="5" t="s">
        <v>91</v>
      </c>
      <c r="B124" s="6" t="s">
        <v>92</v>
      </c>
      <c r="C124" s="7" t="s">
        <v>92</v>
      </c>
      <c r="D124" t="s">
        <v>184</v>
      </c>
      <c r="E124" t="s">
        <v>665</v>
      </c>
      <c r="F124" s="8" t="s">
        <v>666</v>
      </c>
      <c r="H124" t="s">
        <v>235</v>
      </c>
      <c r="J124" t="s">
        <v>667</v>
      </c>
      <c r="K124" t="s">
        <v>668</v>
      </c>
      <c r="L124" t="s">
        <v>189</v>
      </c>
      <c r="M124" t="s">
        <v>338</v>
      </c>
      <c r="N124" t="s">
        <v>338</v>
      </c>
    </row>
    <row r="125" spans="1:14" x14ac:dyDescent="0.3">
      <c r="A125" s="5" t="s">
        <v>91</v>
      </c>
      <c r="B125" s="6" t="s">
        <v>92</v>
      </c>
      <c r="C125" s="7" t="s">
        <v>92</v>
      </c>
      <c r="D125" t="s">
        <v>94</v>
      </c>
      <c r="E125" t="s">
        <v>669</v>
      </c>
      <c r="F125" s="8" t="s">
        <v>670</v>
      </c>
      <c r="H125" t="s">
        <v>97</v>
      </c>
      <c r="J125" t="s">
        <v>671</v>
      </c>
      <c r="K125" t="s">
        <v>672</v>
      </c>
      <c r="L125" t="s">
        <v>189</v>
      </c>
      <c r="M125" t="s">
        <v>324</v>
      </c>
    </row>
    <row r="126" spans="1:14" x14ac:dyDescent="0.3">
      <c r="A126" s="5" t="s">
        <v>91</v>
      </c>
      <c r="B126" s="6" t="s">
        <v>92</v>
      </c>
      <c r="C126" s="7" t="s">
        <v>92</v>
      </c>
      <c r="D126" t="s">
        <v>76</v>
      </c>
      <c r="E126" t="s">
        <v>673</v>
      </c>
      <c r="F126" s="8" t="s">
        <v>674</v>
      </c>
      <c r="H126" t="s">
        <v>97</v>
      </c>
      <c r="J126" t="s">
        <v>675</v>
      </c>
      <c r="K126" t="s">
        <v>676</v>
      </c>
      <c r="L126" t="s">
        <v>109</v>
      </c>
      <c r="M126" t="s">
        <v>177</v>
      </c>
      <c r="N126" t="s">
        <v>178</v>
      </c>
    </row>
    <row r="127" spans="1:14" x14ac:dyDescent="0.3">
      <c r="A127" s="5" t="s">
        <v>91</v>
      </c>
      <c r="B127" s="6" t="s">
        <v>103</v>
      </c>
      <c r="C127" s="7" t="s">
        <v>103</v>
      </c>
      <c r="D127" t="s">
        <v>123</v>
      </c>
      <c r="E127" t="s">
        <v>677</v>
      </c>
      <c r="F127" s="8" t="s">
        <v>677</v>
      </c>
      <c r="H127" t="s">
        <v>123</v>
      </c>
      <c r="J127" t="s">
        <v>678</v>
      </c>
      <c r="K127" t="s">
        <v>679</v>
      </c>
      <c r="L127" t="s">
        <v>607</v>
      </c>
      <c r="M127" t="s">
        <v>128</v>
      </c>
      <c r="N127" t="s">
        <v>680</v>
      </c>
    </row>
    <row r="128" spans="1:14" x14ac:dyDescent="0.3">
      <c r="A128" s="5" t="s">
        <v>91</v>
      </c>
      <c r="B128" s="6" t="s">
        <v>103</v>
      </c>
      <c r="C128" s="7" t="s">
        <v>133</v>
      </c>
      <c r="D128" t="s">
        <v>133</v>
      </c>
      <c r="E128" t="s">
        <v>681</v>
      </c>
      <c r="F128" s="8" t="s">
        <v>682</v>
      </c>
      <c r="H128" t="s">
        <v>97</v>
      </c>
      <c r="I128" t="s">
        <v>683</v>
      </c>
      <c r="J128" t="s">
        <v>684</v>
      </c>
      <c r="K128" t="s">
        <v>685</v>
      </c>
      <c r="L128" t="s">
        <v>283</v>
      </c>
      <c r="M128" t="s">
        <v>583</v>
      </c>
      <c r="N128" t="s">
        <v>583</v>
      </c>
    </row>
    <row r="129" spans="1:14" x14ac:dyDescent="0.3">
      <c r="A129" s="5" t="s">
        <v>91</v>
      </c>
      <c r="B129" s="6" t="s">
        <v>103</v>
      </c>
      <c r="C129" s="7" t="s">
        <v>133</v>
      </c>
      <c r="D129" t="s">
        <v>133</v>
      </c>
      <c r="E129" t="s">
        <v>686</v>
      </c>
      <c r="F129" s="8" t="s">
        <v>687</v>
      </c>
      <c r="H129" t="s">
        <v>97</v>
      </c>
      <c r="I129" t="s">
        <v>595</v>
      </c>
      <c r="J129" t="s">
        <v>684</v>
      </c>
      <c r="K129" t="s">
        <v>688</v>
      </c>
      <c r="L129" t="s">
        <v>283</v>
      </c>
      <c r="M129" t="s">
        <v>583</v>
      </c>
      <c r="N129" t="s">
        <v>583</v>
      </c>
    </row>
    <row r="130" spans="1:14" x14ac:dyDescent="0.3">
      <c r="A130" s="5" t="s">
        <v>91</v>
      </c>
      <c r="B130" s="6" t="s">
        <v>103</v>
      </c>
      <c r="C130" s="7" t="s">
        <v>133</v>
      </c>
      <c r="D130" t="s">
        <v>133</v>
      </c>
      <c r="E130" t="s">
        <v>689</v>
      </c>
      <c r="F130" s="8" t="s">
        <v>690</v>
      </c>
      <c r="H130" t="s">
        <v>97</v>
      </c>
      <c r="I130" t="s">
        <v>579</v>
      </c>
      <c r="J130" t="s">
        <v>691</v>
      </c>
      <c r="K130" t="s">
        <v>692</v>
      </c>
      <c r="L130" t="s">
        <v>283</v>
      </c>
      <c r="M130" t="s">
        <v>583</v>
      </c>
      <c r="N130" t="s">
        <v>583</v>
      </c>
    </row>
    <row r="131" spans="1:14" x14ac:dyDescent="0.3">
      <c r="A131" s="5" t="s">
        <v>91</v>
      </c>
      <c r="B131" s="6" t="s">
        <v>103</v>
      </c>
      <c r="C131" s="7" t="s">
        <v>133</v>
      </c>
      <c r="D131" t="s">
        <v>133</v>
      </c>
      <c r="E131" t="s">
        <v>693</v>
      </c>
      <c r="F131" s="8" t="s">
        <v>694</v>
      </c>
      <c r="H131" t="s">
        <v>97</v>
      </c>
      <c r="I131" t="s">
        <v>683</v>
      </c>
      <c r="J131" t="s">
        <v>695</v>
      </c>
      <c r="K131" t="s">
        <v>696</v>
      </c>
      <c r="L131" t="s">
        <v>283</v>
      </c>
      <c r="M131" t="s">
        <v>583</v>
      </c>
      <c r="N131" t="s">
        <v>583</v>
      </c>
    </row>
    <row r="132" spans="1:14" x14ac:dyDescent="0.3">
      <c r="A132" s="5" t="s">
        <v>91</v>
      </c>
      <c r="B132" s="6" t="s">
        <v>103</v>
      </c>
      <c r="C132" s="7" t="s">
        <v>133</v>
      </c>
      <c r="D132" t="s">
        <v>133</v>
      </c>
      <c r="E132" t="s">
        <v>697</v>
      </c>
      <c r="F132" s="8" t="s">
        <v>698</v>
      </c>
      <c r="H132" t="s">
        <v>97</v>
      </c>
      <c r="I132" t="s">
        <v>595</v>
      </c>
      <c r="J132" t="s">
        <v>695</v>
      </c>
      <c r="K132" t="s">
        <v>699</v>
      </c>
      <c r="L132" t="s">
        <v>283</v>
      </c>
      <c r="M132" t="s">
        <v>583</v>
      </c>
      <c r="N132" t="s">
        <v>583</v>
      </c>
    </row>
    <row r="133" spans="1:14" x14ac:dyDescent="0.3">
      <c r="A133" s="5" t="s">
        <v>91</v>
      </c>
      <c r="B133" s="6" t="s">
        <v>103</v>
      </c>
      <c r="C133" s="7" t="s">
        <v>133</v>
      </c>
      <c r="D133" t="s">
        <v>133</v>
      </c>
      <c r="E133" t="s">
        <v>700</v>
      </c>
      <c r="F133" s="8" t="s">
        <v>701</v>
      </c>
      <c r="H133" t="s">
        <v>97</v>
      </c>
      <c r="I133" t="s">
        <v>683</v>
      </c>
      <c r="J133" t="s">
        <v>702</v>
      </c>
      <c r="K133" t="s">
        <v>703</v>
      </c>
      <c r="L133" t="s">
        <v>283</v>
      </c>
      <c r="M133" t="s">
        <v>583</v>
      </c>
      <c r="N133" t="s">
        <v>583</v>
      </c>
    </row>
    <row r="134" spans="1:14" x14ac:dyDescent="0.3">
      <c r="A134" s="5" t="s">
        <v>91</v>
      </c>
      <c r="B134" s="6" t="s">
        <v>103</v>
      </c>
      <c r="C134" s="7" t="s">
        <v>133</v>
      </c>
      <c r="D134" t="s">
        <v>133</v>
      </c>
      <c r="E134" t="s">
        <v>704</v>
      </c>
      <c r="F134" s="8" t="s">
        <v>705</v>
      </c>
      <c r="H134" t="s">
        <v>97</v>
      </c>
      <c r="I134" t="s">
        <v>595</v>
      </c>
      <c r="J134" t="s">
        <v>702</v>
      </c>
      <c r="K134" t="s">
        <v>706</v>
      </c>
      <c r="L134" t="s">
        <v>283</v>
      </c>
      <c r="M134" t="s">
        <v>583</v>
      </c>
      <c r="N134" t="s">
        <v>583</v>
      </c>
    </row>
    <row r="135" spans="1:14" x14ac:dyDescent="0.3">
      <c r="A135" s="5" t="s">
        <v>91</v>
      </c>
      <c r="B135" s="6" t="s">
        <v>92</v>
      </c>
      <c r="C135" s="7" t="s">
        <v>92</v>
      </c>
      <c r="D135" t="s">
        <v>184</v>
      </c>
      <c r="E135" t="s">
        <v>707</v>
      </c>
      <c r="F135" s="8" t="s">
        <v>708</v>
      </c>
      <c r="H135" t="s">
        <v>235</v>
      </c>
      <c r="J135" t="s">
        <v>709</v>
      </c>
      <c r="K135" t="s">
        <v>710</v>
      </c>
      <c r="L135" t="s">
        <v>189</v>
      </c>
      <c r="M135" t="s">
        <v>338</v>
      </c>
      <c r="N135" t="s">
        <v>338</v>
      </c>
    </row>
    <row r="136" spans="1:14" x14ac:dyDescent="0.3">
      <c r="A136" s="5" t="s">
        <v>91</v>
      </c>
      <c r="B136" s="6" t="s">
        <v>92</v>
      </c>
      <c r="C136" s="7" t="s">
        <v>92</v>
      </c>
      <c r="D136" t="s">
        <v>94</v>
      </c>
      <c r="E136" t="s">
        <v>711</v>
      </c>
      <c r="F136" s="8" t="s">
        <v>712</v>
      </c>
      <c r="H136" t="s">
        <v>97</v>
      </c>
      <c r="J136" t="s">
        <v>713</v>
      </c>
      <c r="K136" t="s">
        <v>714</v>
      </c>
      <c r="L136" t="s">
        <v>715</v>
      </c>
      <c r="M136" t="s">
        <v>324</v>
      </c>
      <c r="N136" t="s">
        <v>713</v>
      </c>
    </row>
    <row r="137" spans="1:14" x14ac:dyDescent="0.3">
      <c r="A137" s="5" t="s">
        <v>91</v>
      </c>
      <c r="B137" s="6" t="s">
        <v>92</v>
      </c>
      <c r="C137" s="7" t="s">
        <v>92</v>
      </c>
      <c r="D137" t="s">
        <v>94</v>
      </c>
      <c r="E137" t="s">
        <v>716</v>
      </c>
      <c r="F137" s="8" t="s">
        <v>717</v>
      </c>
      <c r="H137" t="s">
        <v>97</v>
      </c>
      <c r="J137" t="s">
        <v>718</v>
      </c>
      <c r="K137" t="s">
        <v>719</v>
      </c>
      <c r="L137" t="s">
        <v>570</v>
      </c>
      <c r="M137" t="s">
        <v>324</v>
      </c>
    </row>
    <row r="138" spans="1:14" x14ac:dyDescent="0.3">
      <c r="A138" s="5" t="s">
        <v>91</v>
      </c>
      <c r="B138" s="6" t="s">
        <v>103</v>
      </c>
      <c r="C138" s="7" t="s">
        <v>103</v>
      </c>
      <c r="D138" t="s">
        <v>133</v>
      </c>
      <c r="E138" t="s">
        <v>720</v>
      </c>
      <c r="F138" s="8" t="s">
        <v>721</v>
      </c>
      <c r="H138" t="s">
        <v>97</v>
      </c>
      <c r="J138" t="s">
        <v>722</v>
      </c>
      <c r="K138" t="s">
        <v>723</v>
      </c>
      <c r="L138" t="s">
        <v>100</v>
      </c>
      <c r="M138" t="s">
        <v>171</v>
      </c>
      <c r="N138" t="s">
        <v>724</v>
      </c>
    </row>
    <row r="139" spans="1:14" x14ac:dyDescent="0.3">
      <c r="A139" s="5" t="s">
        <v>91</v>
      </c>
      <c r="B139" s="6" t="s">
        <v>103</v>
      </c>
      <c r="C139" s="7" t="s">
        <v>103</v>
      </c>
      <c r="D139" t="s">
        <v>123</v>
      </c>
      <c r="E139" t="s">
        <v>725</v>
      </c>
      <c r="F139" s="8" t="s">
        <v>725</v>
      </c>
      <c r="H139" t="s">
        <v>123</v>
      </c>
      <c r="J139" t="s">
        <v>726</v>
      </c>
      <c r="K139" t="s">
        <v>727</v>
      </c>
      <c r="L139" t="s">
        <v>127</v>
      </c>
      <c r="M139" t="s">
        <v>128</v>
      </c>
      <c r="N139" t="s">
        <v>680</v>
      </c>
    </row>
    <row r="140" spans="1:14" x14ac:dyDescent="0.3">
      <c r="A140" s="5" t="s">
        <v>112</v>
      </c>
      <c r="B140" s="6" t="s">
        <v>113</v>
      </c>
      <c r="C140" s="7" t="s">
        <v>113</v>
      </c>
      <c r="D140" t="s">
        <v>114</v>
      </c>
      <c r="E140" t="s">
        <v>728</v>
      </c>
      <c r="F140" s="8" t="s">
        <v>729</v>
      </c>
      <c r="H140" t="s">
        <v>117</v>
      </c>
      <c r="J140" t="s">
        <v>118</v>
      </c>
      <c r="K140" t="s">
        <v>730</v>
      </c>
      <c r="L140" t="s">
        <v>120</v>
      </c>
      <c r="M140" t="s">
        <v>121</v>
      </c>
      <c r="N140" t="s">
        <v>122</v>
      </c>
    </row>
    <row r="141" spans="1:14" x14ac:dyDescent="0.3">
      <c r="A141" s="5" t="s">
        <v>112</v>
      </c>
      <c r="B141" s="6" t="s">
        <v>113</v>
      </c>
      <c r="C141" s="7" t="s">
        <v>113</v>
      </c>
      <c r="D141" t="s">
        <v>114</v>
      </c>
      <c r="E141" t="s">
        <v>731</v>
      </c>
      <c r="F141" s="9" t="s">
        <v>732</v>
      </c>
      <c r="G141" s="10"/>
      <c r="H141" t="s">
        <v>733</v>
      </c>
      <c r="I141" t="s">
        <v>358</v>
      </c>
      <c r="J141" t="s">
        <v>734</v>
      </c>
      <c r="K141" t="s">
        <v>735</v>
      </c>
      <c r="L141" t="s">
        <v>120</v>
      </c>
      <c r="M141" t="s">
        <v>736</v>
      </c>
      <c r="N141" t="s">
        <v>160</v>
      </c>
    </row>
    <row r="142" spans="1:14" x14ac:dyDescent="0.3">
      <c r="A142" s="5" t="s">
        <v>91</v>
      </c>
      <c r="B142" s="6" t="s">
        <v>103</v>
      </c>
      <c r="C142" s="7" t="s">
        <v>93</v>
      </c>
      <c r="D142" t="s">
        <v>104</v>
      </c>
      <c r="E142" t="s">
        <v>737</v>
      </c>
      <c r="F142" s="8" t="s">
        <v>738</v>
      </c>
      <c r="H142" t="s">
        <v>97</v>
      </c>
      <c r="J142" t="s">
        <v>739</v>
      </c>
      <c r="K142" t="s">
        <v>740</v>
      </c>
      <c r="L142" t="s">
        <v>607</v>
      </c>
      <c r="M142" t="s">
        <v>183</v>
      </c>
      <c r="N142" t="s">
        <v>102</v>
      </c>
    </row>
    <row r="143" spans="1:14" x14ac:dyDescent="0.3">
      <c r="A143" s="5" t="s">
        <v>91</v>
      </c>
      <c r="B143" s="6" t="s">
        <v>92</v>
      </c>
      <c r="C143" s="7" t="s">
        <v>92</v>
      </c>
      <c r="D143" t="s">
        <v>232</v>
      </c>
      <c r="E143" t="s">
        <v>741</v>
      </c>
      <c r="F143" s="8" t="s">
        <v>742</v>
      </c>
      <c r="H143" t="s">
        <v>97</v>
      </c>
      <c r="J143" t="s">
        <v>743</v>
      </c>
      <c r="K143" t="s">
        <v>744</v>
      </c>
      <c r="L143" t="s">
        <v>745</v>
      </c>
      <c r="M143" t="s">
        <v>324</v>
      </c>
      <c r="N143" t="s">
        <v>746</v>
      </c>
    </row>
    <row r="144" spans="1:14" x14ac:dyDescent="0.3">
      <c r="A144" s="5" t="s">
        <v>91</v>
      </c>
      <c r="B144" s="6" t="s">
        <v>92</v>
      </c>
      <c r="C144" s="7" t="s">
        <v>92</v>
      </c>
      <c r="D144" t="s">
        <v>232</v>
      </c>
      <c r="E144" t="s">
        <v>747</v>
      </c>
      <c r="F144" s="8" t="s">
        <v>748</v>
      </c>
      <c r="H144" t="s">
        <v>97</v>
      </c>
      <c r="J144" t="s">
        <v>749</v>
      </c>
      <c r="K144" t="s">
        <v>750</v>
      </c>
      <c r="L144" t="s">
        <v>745</v>
      </c>
      <c r="M144" t="s">
        <v>324</v>
      </c>
      <c r="N144" t="s">
        <v>746</v>
      </c>
    </row>
    <row r="145" spans="1:14" x14ac:dyDescent="0.3">
      <c r="A145" s="5" t="s">
        <v>91</v>
      </c>
      <c r="B145" s="6" t="s">
        <v>92</v>
      </c>
      <c r="C145" s="7" t="s">
        <v>92</v>
      </c>
      <c r="D145" t="s">
        <v>232</v>
      </c>
      <c r="E145" t="s">
        <v>751</v>
      </c>
      <c r="F145" s="8" t="s">
        <v>752</v>
      </c>
      <c r="H145" t="s">
        <v>97</v>
      </c>
      <c r="J145" t="s">
        <v>753</v>
      </c>
      <c r="K145" t="s">
        <v>754</v>
      </c>
      <c r="L145" t="s">
        <v>745</v>
      </c>
      <c r="M145" t="s">
        <v>324</v>
      </c>
      <c r="N145" t="s">
        <v>746</v>
      </c>
    </row>
    <row r="146" spans="1:14" x14ac:dyDescent="0.3">
      <c r="F146" s="10"/>
      <c r="G146" s="10"/>
    </row>
    <row r="147" spans="1:14" x14ac:dyDescent="0.3">
      <c r="F147" s="10"/>
      <c r="G147" s="10"/>
    </row>
  </sheetData>
  <autoFilter ref="A1:N157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178CB431FBB44BA390DFB7A67DCC0" ma:contentTypeVersion="6" ma:contentTypeDescription="Create a new document." ma:contentTypeScope="" ma:versionID="7cf40ffdaf92502662e88991d82c178b">
  <xsd:schema xmlns:xsd="http://www.w3.org/2001/XMLSchema" xmlns:xs="http://www.w3.org/2001/XMLSchema" xmlns:p="http://schemas.microsoft.com/office/2006/metadata/properties" xmlns:ns2="6076d197-b432-4a89-8b9d-b97676e775aa" xmlns:ns3="3f71e46e-dbdb-4936-a808-49fb891fc3e2" targetNamespace="http://schemas.microsoft.com/office/2006/metadata/properties" ma:root="true" ma:fieldsID="3cce505b0ca2dad9e6a679eb1ac958f3" ns2:_="" ns3:_="">
    <xsd:import namespace="6076d197-b432-4a89-8b9d-b97676e775aa"/>
    <xsd:import namespace="3f71e46e-dbdb-4936-a808-49fb891f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d197-b432-4a89-8b9d-b97676e77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1e46e-dbdb-4936-a808-49fb891fc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BD7057-42ED-4ADF-B933-78803911947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6076d197-b432-4a89-8b9d-b97676e775aa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f71e46e-dbdb-4936-a808-49fb891fc3e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A282B94-B822-4F45-BD80-10F6613E2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417A1C-C7E4-4B2C-97ED-5CC84DF7E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6d197-b432-4a89-8b9d-b97676e775aa"/>
    <ds:schemaRef ds:uri="3f71e46e-dbdb-4936-a808-49fb891f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Spearmans2</vt:lpstr>
      <vt:lpstr>Sheet1</vt:lpstr>
      <vt:lpstr>Active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BERZINS Sabine</dc:creator>
  <cp:keywords/>
  <dc:description/>
  <cp:lastModifiedBy>BERZINS Sabine * DEQ</cp:lastModifiedBy>
  <cp:revision/>
  <dcterms:created xsi:type="dcterms:W3CDTF">2025-10-30T17:44:56Z</dcterms:created>
  <dcterms:modified xsi:type="dcterms:W3CDTF">2026-01-07T22:10:48Z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0x010100D20178CB431FBB44BA390DFB7A67DCC0</vt:lpwstr>
  </property>
</Properties>
</file>