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sabine_berzins_deq_oregon_gov/Documents/Documents/BioMonORDEQ/Benchmarks/Water Chemistry/Chloride/"/>
    </mc:Choice>
  </mc:AlternateContent>
  <xr:revisionPtr revIDLastSave="125" documentId="8_{6A9A5F45-6F1E-4D75-89E8-8C79AECFB536}" xr6:coauthVersionLast="47" xr6:coauthVersionMax="47" xr10:uidLastSave="{215E5AA9-D329-4DE9-9C8D-CF7E74226826}"/>
  <bookViews>
    <workbookView xWindow="-108" yWindow="-108" windowWidth="23256" windowHeight="13896" xr2:uid="{00000000-000D-0000-FFFF-FFFF00000000}"/>
  </bookViews>
  <sheets>
    <sheet name="Spearmans2" sheetId="1" r:id="rId1"/>
    <sheet name="Active" sheetId="2" r:id="rId2"/>
  </sheets>
  <definedNames>
    <definedName name="_xlnm._FilterDatabase" localSheetId="1" hidden="1">Active!$A$1:$N$157</definedName>
    <definedName name="_xlnm._FilterDatabase" localSheetId="0" hidden="1">Spearmans2!$A$1:$L$317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18" i="1" l="1"/>
  <c r="H319" i="1"/>
  <c r="H320" i="1"/>
  <c r="J320" i="1" s="1"/>
  <c r="H321" i="1"/>
  <c r="B318" i="1"/>
  <c r="B319" i="1"/>
  <c r="B320" i="1"/>
  <c r="D320" i="1" s="1"/>
  <c r="B321" i="1"/>
  <c r="E321" i="1" s="1"/>
  <c r="B2" i="1"/>
  <c r="H3" i="1"/>
  <c r="H4" i="1"/>
  <c r="H5" i="1"/>
  <c r="H6" i="1"/>
  <c r="H7" i="1"/>
  <c r="H8" i="1"/>
  <c r="H9" i="1"/>
  <c r="H10" i="1"/>
  <c r="H11" i="1"/>
  <c r="H12" i="1"/>
  <c r="H13" i="1"/>
  <c r="K13" i="1" s="1"/>
  <c r="H14" i="1"/>
  <c r="I14" i="1" s="1"/>
  <c r="H15" i="1"/>
  <c r="I15" i="1" s="1"/>
  <c r="H16" i="1"/>
  <c r="H17" i="1"/>
  <c r="J17" i="1" s="1"/>
  <c r="H18" i="1"/>
  <c r="H19" i="1"/>
  <c r="J19" i="1" s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K33" i="1" s="1"/>
  <c r="H34" i="1"/>
  <c r="H35" i="1"/>
  <c r="H36" i="1"/>
  <c r="H37" i="1"/>
  <c r="H38" i="1"/>
  <c r="H39" i="1"/>
  <c r="I39" i="1" s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I53" i="1" s="1"/>
  <c r="H54" i="1"/>
  <c r="J54" i="1" s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J79" i="1" s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J95" i="1" s="1"/>
  <c r="H96" i="1"/>
  <c r="H97" i="1"/>
  <c r="H98" i="1"/>
  <c r="I98" i="1" s="1"/>
  <c r="H99" i="1"/>
  <c r="J99" i="1" s="1"/>
  <c r="H100" i="1"/>
  <c r="H101" i="1"/>
  <c r="H102" i="1"/>
  <c r="H103" i="1"/>
  <c r="H104" i="1"/>
  <c r="H105" i="1"/>
  <c r="H106" i="1"/>
  <c r="H107" i="1"/>
  <c r="H108" i="1"/>
  <c r="K108" i="1" s="1"/>
  <c r="H109" i="1"/>
  <c r="I109" i="1" s="1"/>
  <c r="H110" i="1"/>
  <c r="H111" i="1"/>
  <c r="H112" i="1"/>
  <c r="H113" i="1"/>
  <c r="J113" i="1" s="1"/>
  <c r="H114" i="1"/>
  <c r="J114" i="1" s="1"/>
  <c r="H115" i="1"/>
  <c r="I115" i="1" s="1"/>
  <c r="H116" i="1"/>
  <c r="I116" i="1" s="1"/>
  <c r="H117" i="1"/>
  <c r="H118" i="1"/>
  <c r="I118" i="1" s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K133" i="1" s="1"/>
  <c r="H134" i="1"/>
  <c r="H135" i="1"/>
  <c r="J135" i="1" s="1"/>
  <c r="H136" i="1"/>
  <c r="I136" i="1" s="1"/>
  <c r="H137" i="1"/>
  <c r="I137" i="1" s="1"/>
  <c r="H138" i="1"/>
  <c r="J138" i="1" s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I157" i="1" s="1"/>
  <c r="H158" i="1"/>
  <c r="J158" i="1" s="1"/>
  <c r="H159" i="1"/>
  <c r="H160" i="1"/>
  <c r="H161" i="1"/>
  <c r="H162" i="1"/>
  <c r="H163" i="1"/>
  <c r="J163" i="1" s="1"/>
  <c r="H164" i="1"/>
  <c r="H165" i="1"/>
  <c r="I165" i="1" s="1"/>
  <c r="H166" i="1"/>
  <c r="H167" i="1"/>
  <c r="H168" i="1"/>
  <c r="H169" i="1"/>
  <c r="H170" i="1"/>
  <c r="H171" i="1"/>
  <c r="H172" i="1"/>
  <c r="H173" i="1"/>
  <c r="I173" i="1" s="1"/>
  <c r="H174" i="1"/>
  <c r="H175" i="1"/>
  <c r="H176" i="1"/>
  <c r="H177" i="1"/>
  <c r="H178" i="1"/>
  <c r="H179" i="1"/>
  <c r="H180" i="1"/>
  <c r="H181" i="1"/>
  <c r="H182" i="1"/>
  <c r="H183" i="1"/>
  <c r="H184" i="1"/>
  <c r="H185" i="1"/>
  <c r="J185" i="1" s="1"/>
  <c r="H186" i="1"/>
  <c r="H187" i="1"/>
  <c r="H188" i="1"/>
  <c r="H189" i="1"/>
  <c r="H190" i="1"/>
  <c r="H191" i="1"/>
  <c r="H192" i="1"/>
  <c r="H193" i="1"/>
  <c r="H194" i="1"/>
  <c r="J194" i="1" s="1"/>
  <c r="H195" i="1"/>
  <c r="J195" i="1" s="1"/>
  <c r="H196" i="1"/>
  <c r="H197" i="1"/>
  <c r="H198" i="1"/>
  <c r="I198" i="1" s="1"/>
  <c r="H199" i="1"/>
  <c r="I199" i="1" s="1"/>
  <c r="H200" i="1"/>
  <c r="H201" i="1"/>
  <c r="H202" i="1"/>
  <c r="H203" i="1"/>
  <c r="I203" i="1" s="1"/>
  <c r="H204" i="1"/>
  <c r="K204" i="1" s="1"/>
  <c r="H205" i="1"/>
  <c r="I205" i="1" s="1"/>
  <c r="H206" i="1"/>
  <c r="H207" i="1"/>
  <c r="H208" i="1"/>
  <c r="H209" i="1"/>
  <c r="H210" i="1"/>
  <c r="H211" i="1"/>
  <c r="H212" i="1"/>
  <c r="H213" i="1"/>
  <c r="I213" i="1" s="1"/>
  <c r="H214" i="1"/>
  <c r="J214" i="1" s="1"/>
  <c r="H215" i="1"/>
  <c r="H216" i="1"/>
  <c r="H217" i="1"/>
  <c r="H218" i="1"/>
  <c r="K218" i="1" s="1"/>
  <c r="H219" i="1"/>
  <c r="H220" i="1"/>
  <c r="H221" i="1"/>
  <c r="H222" i="1"/>
  <c r="H223" i="1"/>
  <c r="J223" i="1" s="1"/>
  <c r="H224" i="1"/>
  <c r="H225" i="1"/>
  <c r="K225" i="1" s="1"/>
  <c r="H226" i="1"/>
  <c r="H227" i="1"/>
  <c r="H228" i="1"/>
  <c r="H229" i="1"/>
  <c r="H230" i="1"/>
  <c r="H231" i="1"/>
  <c r="J231" i="1" s="1"/>
  <c r="H232" i="1"/>
  <c r="H233" i="1"/>
  <c r="H234" i="1"/>
  <c r="H235" i="1"/>
  <c r="H236" i="1"/>
  <c r="I236" i="1" s="1"/>
  <c r="H237" i="1"/>
  <c r="I237" i="1" s="1"/>
  <c r="H238" i="1"/>
  <c r="H239" i="1"/>
  <c r="H240" i="1"/>
  <c r="I240" i="1" s="1"/>
  <c r="H241" i="1"/>
  <c r="H242" i="1"/>
  <c r="I242" i="1" s="1"/>
  <c r="H243" i="1"/>
  <c r="J243" i="1" s="1"/>
  <c r="H244" i="1"/>
  <c r="I244" i="1" s="1"/>
  <c r="H245" i="1"/>
  <c r="K245" i="1" s="1"/>
  <c r="H246" i="1"/>
  <c r="H247" i="1"/>
  <c r="H248" i="1"/>
  <c r="H249" i="1"/>
  <c r="H250" i="1"/>
  <c r="H251" i="1"/>
  <c r="H252" i="1"/>
  <c r="J252" i="1" s="1"/>
  <c r="H253" i="1"/>
  <c r="H254" i="1"/>
  <c r="H255" i="1"/>
  <c r="H256" i="1"/>
  <c r="I256" i="1" s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K270" i="1" s="1"/>
  <c r="H271" i="1"/>
  <c r="I271" i="1" s="1"/>
  <c r="H272" i="1"/>
  <c r="I272" i="1" s="1"/>
  <c r="H273" i="1"/>
  <c r="H274" i="1"/>
  <c r="H275" i="1"/>
  <c r="H276" i="1"/>
  <c r="H277" i="1"/>
  <c r="J277" i="1" s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K315" i="1" s="1"/>
  <c r="H316" i="1"/>
  <c r="H317" i="1"/>
  <c r="I317" i="1" s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C14" i="1" s="1"/>
  <c r="B15" i="1"/>
  <c r="D15" i="1" s="1"/>
  <c r="B16" i="1"/>
  <c r="C16" i="1" s="1"/>
  <c r="B17" i="1"/>
  <c r="B18" i="1"/>
  <c r="B19" i="1"/>
  <c r="F19" i="1" s="1"/>
  <c r="B20" i="1"/>
  <c r="D20" i="1" s="1"/>
  <c r="B21" i="1"/>
  <c r="C21" i="1" s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C34" i="1" s="1"/>
  <c r="B35" i="1"/>
  <c r="D35" i="1" s="1"/>
  <c r="B36" i="1"/>
  <c r="B37" i="1"/>
  <c r="B38" i="1"/>
  <c r="B39" i="1"/>
  <c r="F39" i="1" s="1"/>
  <c r="B40" i="1"/>
  <c r="D40" i="1" s="1"/>
  <c r="B41" i="1"/>
  <c r="B42" i="1"/>
  <c r="B43" i="1"/>
  <c r="B44" i="1"/>
  <c r="B45" i="1"/>
  <c r="B46" i="1"/>
  <c r="B47" i="1"/>
  <c r="B48" i="1"/>
  <c r="B49" i="1"/>
  <c r="C49" i="1" s="1"/>
  <c r="B50" i="1"/>
  <c r="F50" i="1" s="1"/>
  <c r="B51" i="1"/>
  <c r="B52" i="1"/>
  <c r="C52" i="1" s="1"/>
  <c r="B53" i="1"/>
  <c r="C53" i="1" s="1"/>
  <c r="B54" i="1"/>
  <c r="B55" i="1"/>
  <c r="B56" i="1"/>
  <c r="B57" i="1"/>
  <c r="B58" i="1"/>
  <c r="B59" i="1"/>
  <c r="B60" i="1"/>
  <c r="B61" i="1"/>
  <c r="C61" i="1" s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F76" i="1" s="1"/>
  <c r="B77" i="1"/>
  <c r="B78" i="1"/>
  <c r="B79" i="1"/>
  <c r="B80" i="1"/>
  <c r="B81" i="1"/>
  <c r="F81" i="1" s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C98" i="1" s="1"/>
  <c r="B99" i="1"/>
  <c r="B100" i="1"/>
  <c r="C100" i="1" s="1"/>
  <c r="B101" i="1"/>
  <c r="F101" i="1" s="1"/>
  <c r="B102" i="1"/>
  <c r="B103" i="1"/>
  <c r="B104" i="1"/>
  <c r="B105" i="1"/>
  <c r="B106" i="1"/>
  <c r="B107" i="1"/>
  <c r="B108" i="1"/>
  <c r="B109" i="1"/>
  <c r="B110" i="1"/>
  <c r="B111" i="1"/>
  <c r="E111" i="1" s="1"/>
  <c r="B112" i="1"/>
  <c r="E112" i="1" s="1"/>
  <c r="B113" i="1"/>
  <c r="B114" i="1"/>
  <c r="E114" i="1" s="1"/>
  <c r="B115" i="1"/>
  <c r="E115" i="1" s="1"/>
  <c r="B116" i="1"/>
  <c r="E116" i="1" s="1"/>
  <c r="B117" i="1"/>
  <c r="D117" i="1" s="1"/>
  <c r="B118" i="1"/>
  <c r="B119" i="1"/>
  <c r="C119" i="1" s="1"/>
  <c r="B120" i="1"/>
  <c r="B121" i="1"/>
  <c r="C121" i="1" s="1"/>
  <c r="B122" i="1"/>
  <c r="B123" i="1"/>
  <c r="B124" i="1"/>
  <c r="B125" i="1"/>
  <c r="B126" i="1"/>
  <c r="B127" i="1"/>
  <c r="B128" i="1"/>
  <c r="B129" i="1"/>
  <c r="B130" i="1"/>
  <c r="B131" i="1"/>
  <c r="C131" i="1" s="1"/>
  <c r="B132" i="1"/>
  <c r="B133" i="1"/>
  <c r="B134" i="1"/>
  <c r="E134" i="1" s="1"/>
  <c r="B135" i="1"/>
  <c r="D135" i="1" s="1"/>
  <c r="B136" i="1"/>
  <c r="E136" i="1" s="1"/>
  <c r="B137" i="1"/>
  <c r="B138" i="1"/>
  <c r="B139" i="1"/>
  <c r="B140" i="1"/>
  <c r="D140" i="1" s="1"/>
  <c r="B141" i="1"/>
  <c r="C141" i="1" s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C158" i="1" s="1"/>
  <c r="B159" i="1"/>
  <c r="F159" i="1" s="1"/>
  <c r="B160" i="1"/>
  <c r="B161" i="1"/>
  <c r="B162" i="1"/>
  <c r="B163" i="1"/>
  <c r="B164" i="1"/>
  <c r="B165" i="1"/>
  <c r="B166" i="1"/>
  <c r="B167" i="1"/>
  <c r="E167" i="1" s="1"/>
  <c r="B168" i="1"/>
  <c r="E168" i="1" s="1"/>
  <c r="B169" i="1"/>
  <c r="F169" i="1" s="1"/>
  <c r="B170" i="1"/>
  <c r="D170" i="1" s="1"/>
  <c r="B171" i="1"/>
  <c r="E171" i="1" s="1"/>
  <c r="B172" i="1"/>
  <c r="E172" i="1" s="1"/>
  <c r="B173" i="1"/>
  <c r="B174" i="1"/>
  <c r="E174" i="1" s="1"/>
  <c r="B175" i="1"/>
  <c r="D175" i="1" s="1"/>
  <c r="B176" i="1"/>
  <c r="F176" i="1" s="1"/>
  <c r="B177" i="1"/>
  <c r="B178" i="1"/>
  <c r="B179" i="1"/>
  <c r="F179" i="1" s="1"/>
  <c r="B180" i="1"/>
  <c r="F180" i="1" s="1"/>
  <c r="B181" i="1"/>
  <c r="C181" i="1" s="1"/>
  <c r="B182" i="1"/>
  <c r="B183" i="1"/>
  <c r="B184" i="1"/>
  <c r="B185" i="1"/>
  <c r="B186" i="1"/>
  <c r="B187" i="1"/>
  <c r="B188" i="1"/>
  <c r="B189" i="1"/>
  <c r="B190" i="1"/>
  <c r="B191" i="1"/>
  <c r="B192" i="1"/>
  <c r="C192" i="1" s="1"/>
  <c r="B193" i="1"/>
  <c r="B194" i="1"/>
  <c r="B195" i="1"/>
  <c r="C195" i="1" s="1"/>
  <c r="B196" i="1"/>
  <c r="D196" i="1" s="1"/>
  <c r="B197" i="1"/>
  <c r="D197" i="1" s="1"/>
  <c r="B198" i="1"/>
  <c r="B199" i="1"/>
  <c r="F199" i="1" s="1"/>
  <c r="B200" i="1"/>
  <c r="F200" i="1" s="1"/>
  <c r="B201" i="1"/>
  <c r="E201" i="1" s="1"/>
  <c r="B202" i="1"/>
  <c r="B203" i="1"/>
  <c r="B204" i="1"/>
  <c r="E204" i="1" s="1"/>
  <c r="B205" i="1"/>
  <c r="B206" i="1"/>
  <c r="B207" i="1"/>
  <c r="B208" i="1"/>
  <c r="E208" i="1" s="1"/>
  <c r="B209" i="1"/>
  <c r="F209" i="1" s="1"/>
  <c r="B210" i="1"/>
  <c r="B211" i="1"/>
  <c r="C211" i="1" s="1"/>
  <c r="B212" i="1"/>
  <c r="C212" i="1" s="1"/>
  <c r="B213" i="1"/>
  <c r="B214" i="1"/>
  <c r="C214" i="1" s="1"/>
  <c r="B215" i="1"/>
  <c r="B216" i="1"/>
  <c r="E216" i="1" s="1"/>
  <c r="B217" i="1"/>
  <c r="B218" i="1"/>
  <c r="B219" i="1"/>
  <c r="D219" i="1" s="1"/>
  <c r="B220" i="1"/>
  <c r="B221" i="1"/>
  <c r="B222" i="1"/>
  <c r="B223" i="1"/>
  <c r="E223" i="1" s="1"/>
  <c r="B224" i="1"/>
  <c r="B225" i="1"/>
  <c r="E225" i="1" s="1"/>
  <c r="B226" i="1"/>
  <c r="B227" i="1"/>
  <c r="E227" i="1" s="1"/>
  <c r="B228" i="1"/>
  <c r="E228" i="1" s="1"/>
  <c r="B229" i="1"/>
  <c r="E229" i="1" s="1"/>
  <c r="B230" i="1"/>
  <c r="E230" i="1" s="1"/>
  <c r="B231" i="1"/>
  <c r="B232" i="1"/>
  <c r="C232" i="1" s="1"/>
  <c r="B233" i="1"/>
  <c r="B234" i="1"/>
  <c r="E234" i="1" s="1"/>
  <c r="B235" i="1"/>
  <c r="C235" i="1" s="1"/>
  <c r="B236" i="1"/>
  <c r="B237" i="1"/>
  <c r="D237" i="1" s="1"/>
  <c r="B238" i="1"/>
  <c r="D238" i="1" s="1"/>
  <c r="B239" i="1"/>
  <c r="B240" i="1"/>
  <c r="B241" i="1"/>
  <c r="B242" i="1"/>
  <c r="B243" i="1"/>
  <c r="B244" i="1"/>
  <c r="E244" i="1" s="1"/>
  <c r="B245" i="1"/>
  <c r="E245" i="1" s="1"/>
  <c r="B246" i="1"/>
  <c r="E246" i="1" s="1"/>
  <c r="B247" i="1"/>
  <c r="B248" i="1"/>
  <c r="B249" i="1"/>
  <c r="B250" i="1"/>
  <c r="B251" i="1"/>
  <c r="B252" i="1"/>
  <c r="B253" i="1"/>
  <c r="D253" i="1" s="1"/>
  <c r="B254" i="1"/>
  <c r="C254" i="1" s="1"/>
  <c r="B255" i="1"/>
  <c r="B256" i="1"/>
  <c r="E256" i="1" s="1"/>
  <c r="B257" i="1"/>
  <c r="F257" i="1" s="1"/>
  <c r="B258" i="1"/>
  <c r="B259" i="1"/>
  <c r="F259" i="1" s="1"/>
  <c r="B260" i="1"/>
  <c r="B261" i="1"/>
  <c r="B262" i="1"/>
  <c r="B263" i="1"/>
  <c r="E263" i="1" s="1"/>
  <c r="B264" i="1"/>
  <c r="B265" i="1"/>
  <c r="B266" i="1"/>
  <c r="B267" i="1"/>
  <c r="B268" i="1"/>
  <c r="C268" i="1" s="1"/>
  <c r="B269" i="1"/>
  <c r="C269" i="1" s="1"/>
  <c r="B270" i="1"/>
  <c r="E270" i="1" s="1"/>
  <c r="B271" i="1"/>
  <c r="C271" i="1" s="1"/>
  <c r="B272" i="1"/>
  <c r="C272" i="1" s="1"/>
  <c r="B273" i="1"/>
  <c r="D273" i="1" s="1"/>
  <c r="B274" i="1"/>
  <c r="B275" i="1"/>
  <c r="B276" i="1"/>
  <c r="B277" i="1"/>
  <c r="B278" i="1"/>
  <c r="D278" i="1" s="1"/>
  <c r="B279" i="1"/>
  <c r="D279" i="1" s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E298" i="1" s="1"/>
  <c r="B299" i="1"/>
  <c r="B300" i="1"/>
  <c r="B301" i="1"/>
  <c r="B302" i="1"/>
  <c r="B303" i="1"/>
  <c r="B304" i="1"/>
  <c r="B305" i="1"/>
  <c r="B306" i="1"/>
  <c r="B307" i="1"/>
  <c r="E307" i="1" s="1"/>
  <c r="B308" i="1"/>
  <c r="E308" i="1" s="1"/>
  <c r="B309" i="1"/>
  <c r="B310" i="1"/>
  <c r="E310" i="1" s="1"/>
  <c r="B311" i="1"/>
  <c r="B312" i="1"/>
  <c r="B313" i="1"/>
  <c r="B314" i="1"/>
  <c r="B315" i="1"/>
  <c r="B316" i="1"/>
  <c r="B317" i="1"/>
  <c r="F317" i="1" s="1"/>
  <c r="J318" i="1" l="1"/>
  <c r="D321" i="1"/>
  <c r="F320" i="1"/>
  <c r="I320" i="1"/>
  <c r="E320" i="1"/>
  <c r="E224" i="1"/>
  <c r="E166" i="1"/>
  <c r="I222" i="1"/>
  <c r="I164" i="1"/>
  <c r="I64" i="1"/>
  <c r="E303" i="1"/>
  <c r="E165" i="1"/>
  <c r="E282" i="1"/>
  <c r="E242" i="1"/>
  <c r="E222" i="1"/>
  <c r="E184" i="1"/>
  <c r="J202" i="1"/>
  <c r="I162" i="1"/>
  <c r="E241" i="1"/>
  <c r="D221" i="1"/>
  <c r="D203" i="1"/>
  <c r="D183" i="1"/>
  <c r="D163" i="1"/>
  <c r="E143" i="1"/>
  <c r="C3" i="1"/>
  <c r="K279" i="1"/>
  <c r="K239" i="1"/>
  <c r="I219" i="1"/>
  <c r="I161" i="1"/>
  <c r="I81" i="1"/>
  <c r="I61" i="1"/>
  <c r="C320" i="1"/>
  <c r="C191" i="1"/>
  <c r="F110" i="1"/>
  <c r="I226" i="1"/>
  <c r="J168" i="1"/>
  <c r="C267" i="1"/>
  <c r="E207" i="1"/>
  <c r="E186" i="1"/>
  <c r="K282" i="1"/>
  <c r="E283" i="1"/>
  <c r="E243" i="1"/>
  <c r="E185" i="1"/>
  <c r="E164" i="1"/>
  <c r="E64" i="1"/>
  <c r="I220" i="1"/>
  <c r="C2" i="1"/>
  <c r="F300" i="1"/>
  <c r="C280" i="1"/>
  <c r="C240" i="1"/>
  <c r="D220" i="1"/>
  <c r="D202" i="1"/>
  <c r="D182" i="1"/>
  <c r="F162" i="1"/>
  <c r="E142" i="1"/>
  <c r="C82" i="1"/>
  <c r="C62" i="1"/>
  <c r="K2" i="1"/>
  <c r="I298" i="1"/>
  <c r="I258" i="1"/>
  <c r="K238" i="1"/>
  <c r="I180" i="1"/>
  <c r="I160" i="1"/>
  <c r="I140" i="1"/>
  <c r="I120" i="1"/>
  <c r="I80" i="1"/>
  <c r="K40" i="1"/>
  <c r="K20" i="1"/>
  <c r="C319" i="1"/>
  <c r="E132" i="1"/>
  <c r="I321" i="1"/>
  <c r="C299" i="1"/>
  <c r="C41" i="1"/>
  <c r="I295" i="1"/>
  <c r="J255" i="1"/>
  <c r="I217" i="1"/>
  <c r="I197" i="1"/>
  <c r="J177" i="1"/>
  <c r="I117" i="1"/>
  <c r="I77" i="1"/>
  <c r="I37" i="1"/>
  <c r="E319" i="1"/>
  <c r="C160" i="1"/>
  <c r="I316" i="1"/>
  <c r="I296" i="1"/>
  <c r="I78" i="1"/>
  <c r="K38" i="1"/>
  <c r="C297" i="1"/>
  <c r="D99" i="1"/>
  <c r="D79" i="1"/>
  <c r="C316" i="1"/>
  <c r="C296" i="1"/>
  <c r="C236" i="1"/>
  <c r="C218" i="1"/>
  <c r="C198" i="1"/>
  <c r="C178" i="1"/>
  <c r="C138" i="1"/>
  <c r="C118" i="1"/>
  <c r="C78" i="1"/>
  <c r="C38" i="1"/>
  <c r="C18" i="1"/>
  <c r="I254" i="1"/>
  <c r="I234" i="1"/>
  <c r="J216" i="1"/>
  <c r="K196" i="1"/>
  <c r="I176" i="1"/>
  <c r="K96" i="1"/>
  <c r="I76" i="1"/>
  <c r="J16" i="1"/>
  <c r="C318" i="1"/>
  <c r="D215" i="1"/>
  <c r="E161" i="1"/>
  <c r="I297" i="1"/>
  <c r="I179" i="1"/>
  <c r="I139" i="1"/>
  <c r="D319" i="1"/>
  <c r="F258" i="1"/>
  <c r="C120" i="1"/>
  <c r="E80" i="1"/>
  <c r="E277" i="1"/>
  <c r="C139" i="1"/>
  <c r="D255" i="1"/>
  <c r="D217" i="1"/>
  <c r="D177" i="1"/>
  <c r="D157" i="1"/>
  <c r="D137" i="1"/>
  <c r="D97" i="1"/>
  <c r="D77" i="1"/>
  <c r="D37" i="1"/>
  <c r="D17" i="1"/>
  <c r="I273" i="1"/>
  <c r="J233" i="1"/>
  <c r="I175" i="1"/>
  <c r="D233" i="1"/>
  <c r="D239" i="1"/>
  <c r="F96" i="1"/>
  <c r="E36" i="1"/>
  <c r="J232" i="1"/>
  <c r="C194" i="1"/>
  <c r="C54" i="1"/>
  <c r="C252" i="1"/>
  <c r="K321" i="1"/>
  <c r="E311" i="1"/>
  <c r="C231" i="1"/>
  <c r="C213" i="1"/>
  <c r="C193" i="1"/>
  <c r="C173" i="1"/>
  <c r="E133" i="1"/>
  <c r="C113" i="1"/>
  <c r="J269" i="1"/>
  <c r="J321" i="1"/>
  <c r="E226" i="1"/>
  <c r="I206" i="1"/>
  <c r="K166" i="1"/>
  <c r="I126" i="1"/>
  <c r="I66" i="1"/>
  <c r="C321" i="1"/>
  <c r="I319" i="1"/>
  <c r="K318" i="1"/>
  <c r="C51" i="1"/>
  <c r="F210" i="1"/>
  <c r="J188" i="1"/>
  <c r="D109" i="1"/>
  <c r="E67" i="1"/>
  <c r="K262" i="1"/>
  <c r="E205" i="1"/>
  <c r="E65" i="1"/>
  <c r="I301" i="1"/>
  <c r="J281" i="1"/>
  <c r="K241" i="1"/>
  <c r="J221" i="1"/>
  <c r="I183" i="1"/>
  <c r="K63" i="1"/>
  <c r="I3" i="1"/>
  <c r="I318" i="1"/>
  <c r="E318" i="1"/>
  <c r="K319" i="1"/>
  <c r="D318" i="1"/>
  <c r="J319" i="1"/>
  <c r="F318" i="1"/>
  <c r="F321" i="1"/>
  <c r="K320" i="1"/>
  <c r="F319" i="1"/>
  <c r="F2" i="1"/>
  <c r="E61" i="1"/>
  <c r="E2" i="1"/>
  <c r="E189" i="1"/>
  <c r="E268" i="1"/>
  <c r="E258" i="1"/>
  <c r="E160" i="1"/>
  <c r="E70" i="1"/>
  <c r="I23" i="1"/>
  <c r="E69" i="1"/>
  <c r="E23" i="1"/>
  <c r="E141" i="1"/>
  <c r="E140" i="1"/>
  <c r="E110" i="1"/>
  <c r="E109" i="1"/>
  <c r="K57" i="1"/>
  <c r="D275" i="1"/>
  <c r="C155" i="1"/>
  <c r="D260" i="1"/>
  <c r="D142" i="1"/>
  <c r="C122" i="1"/>
  <c r="F102" i="1"/>
  <c r="C42" i="1"/>
  <c r="F22" i="1"/>
  <c r="J259" i="1"/>
  <c r="I201" i="1"/>
  <c r="I121" i="1"/>
  <c r="I101" i="1"/>
  <c r="I21" i="1"/>
  <c r="D2" i="1"/>
  <c r="C59" i="1"/>
  <c r="D315" i="1"/>
  <c r="D295" i="1"/>
  <c r="K56" i="1"/>
  <c r="D156" i="1"/>
  <c r="I313" i="1"/>
  <c r="C74" i="1"/>
  <c r="J291" i="1"/>
  <c r="J32" i="1"/>
  <c r="E95" i="1"/>
  <c r="E314" i="1"/>
  <c r="C56" i="1"/>
  <c r="C293" i="1"/>
  <c r="D55" i="1"/>
  <c r="E312" i="1"/>
  <c r="I311" i="1"/>
  <c r="J251" i="1"/>
  <c r="J193" i="1"/>
  <c r="I93" i="1"/>
  <c r="E93" i="1"/>
  <c r="C13" i="1"/>
  <c r="J11" i="1"/>
  <c r="C91" i="1"/>
  <c r="E11" i="1"/>
  <c r="E10" i="1"/>
  <c r="I9" i="1"/>
  <c r="C287" i="1"/>
  <c r="D247" i="1"/>
  <c r="D189" i="1"/>
  <c r="F149" i="1"/>
  <c r="D129" i="1"/>
  <c r="C89" i="1"/>
  <c r="D29" i="1"/>
  <c r="E9" i="1"/>
  <c r="K306" i="1"/>
  <c r="K286" i="1"/>
  <c r="I266" i="1"/>
  <c r="K88" i="1"/>
  <c r="K68" i="1"/>
  <c r="K28" i="1"/>
  <c r="I8" i="1"/>
  <c r="E221" i="1"/>
  <c r="C58" i="1"/>
  <c r="E75" i="1"/>
  <c r="I73" i="1"/>
  <c r="E291" i="1"/>
  <c r="C248" i="1"/>
  <c r="D190" i="1"/>
  <c r="F150" i="1"/>
  <c r="C130" i="1"/>
  <c r="C90" i="1"/>
  <c r="D30" i="1"/>
  <c r="K287" i="1"/>
  <c r="I129" i="1"/>
  <c r="E306" i="1"/>
  <c r="E286" i="1"/>
  <c r="E148" i="1"/>
  <c r="E128" i="1"/>
  <c r="E88" i="1"/>
  <c r="E68" i="1"/>
  <c r="E48" i="1"/>
  <c r="E28" i="1"/>
  <c r="E8" i="1"/>
  <c r="I265" i="1"/>
  <c r="K187" i="1"/>
  <c r="J127" i="1"/>
  <c r="K107" i="1"/>
  <c r="K87" i="1"/>
  <c r="K7" i="1"/>
  <c r="E220" i="1"/>
  <c r="E60" i="1"/>
  <c r="I58" i="1"/>
  <c r="C276" i="1"/>
  <c r="C95" i="1"/>
  <c r="J154" i="1"/>
  <c r="C32" i="1"/>
  <c r="I86" i="1"/>
  <c r="E29" i="1"/>
  <c r="I276" i="1"/>
  <c r="J314" i="1"/>
  <c r="I294" i="1"/>
  <c r="D294" i="1"/>
  <c r="I293" i="1"/>
  <c r="C313" i="1"/>
  <c r="J94" i="1"/>
  <c r="I153" i="1"/>
  <c r="E259" i="1"/>
  <c r="C251" i="1"/>
  <c r="C250" i="1"/>
  <c r="C12" i="1"/>
  <c r="E238" i="1"/>
  <c r="C309" i="1"/>
  <c r="E249" i="1"/>
  <c r="E127" i="1"/>
  <c r="E87" i="1"/>
  <c r="E47" i="1"/>
  <c r="E27" i="1"/>
  <c r="E7" i="1"/>
  <c r="I304" i="1"/>
  <c r="I284" i="1"/>
  <c r="I106" i="1"/>
  <c r="K46" i="1"/>
  <c r="E219" i="1"/>
  <c r="E304" i="1"/>
  <c r="E284" i="1"/>
  <c r="E264" i="1"/>
  <c r="E206" i="1"/>
  <c r="E126" i="1"/>
  <c r="E106" i="1"/>
  <c r="E86" i="1"/>
  <c r="E66" i="1"/>
  <c r="E46" i="1"/>
  <c r="E26" i="1"/>
  <c r="E6" i="1"/>
  <c r="K283" i="1"/>
  <c r="I263" i="1"/>
  <c r="K145" i="1"/>
  <c r="I125" i="1"/>
  <c r="I105" i="1"/>
  <c r="K85" i="1"/>
  <c r="K65" i="1"/>
  <c r="I45" i="1"/>
  <c r="J25" i="1"/>
  <c r="K5" i="1"/>
  <c r="E209" i="1"/>
  <c r="I312" i="1"/>
  <c r="I74" i="1"/>
  <c r="K144" i="1"/>
  <c r="I84" i="1"/>
  <c r="I4" i="1"/>
  <c r="E193" i="1"/>
  <c r="E22" i="1"/>
  <c r="C60" i="1"/>
  <c r="D57" i="1"/>
  <c r="I274" i="1"/>
  <c r="F274" i="1"/>
  <c r="E153" i="1"/>
  <c r="C33" i="1"/>
  <c r="C310" i="1"/>
  <c r="E92" i="1"/>
  <c r="C289" i="1"/>
  <c r="E31" i="1"/>
  <c r="E285" i="1"/>
  <c r="E85" i="1"/>
  <c r="E45" i="1"/>
  <c r="K124" i="1"/>
  <c r="I24" i="1"/>
  <c r="E302" i="1"/>
  <c r="E144" i="1"/>
  <c r="C104" i="1"/>
  <c r="E84" i="1"/>
  <c r="E44" i="1"/>
  <c r="E24" i="1"/>
  <c r="E4" i="1"/>
  <c r="J261" i="1"/>
  <c r="I143" i="1"/>
  <c r="I123" i="1"/>
  <c r="K103" i="1"/>
  <c r="I83" i="1"/>
  <c r="J43" i="1"/>
  <c r="J23" i="1"/>
  <c r="E192" i="1"/>
  <c r="E21" i="1"/>
  <c r="I275" i="1"/>
  <c r="J155" i="1"/>
  <c r="E292" i="1"/>
  <c r="C154" i="1"/>
  <c r="E94" i="1"/>
  <c r="E73" i="1"/>
  <c r="E290" i="1"/>
  <c r="C152" i="1"/>
  <c r="E72" i="1"/>
  <c r="E89" i="1"/>
  <c r="E151" i="1"/>
  <c r="E71" i="1"/>
  <c r="C288" i="1"/>
  <c r="E125" i="1"/>
  <c r="E25" i="1"/>
  <c r="E5" i="1"/>
  <c r="I44" i="1"/>
  <c r="E262" i="1"/>
  <c r="E124" i="1"/>
  <c r="E301" i="1"/>
  <c r="E281" i="1"/>
  <c r="E261" i="1"/>
  <c r="D143" i="1"/>
  <c r="D123" i="1"/>
  <c r="D103" i="1"/>
  <c r="D83" i="1"/>
  <c r="D63" i="1"/>
  <c r="D43" i="1"/>
  <c r="D23" i="1"/>
  <c r="D3" i="1"/>
  <c r="I300" i="1"/>
  <c r="I280" i="1"/>
  <c r="I260" i="1"/>
  <c r="I142" i="1"/>
  <c r="K122" i="1"/>
  <c r="J102" i="1"/>
  <c r="I42" i="1"/>
  <c r="K22" i="1"/>
  <c r="E190" i="1"/>
  <c r="E13" i="1"/>
  <c r="E213" i="1"/>
  <c r="E130" i="1"/>
  <c r="E59" i="1"/>
  <c r="E293" i="1"/>
  <c r="E212" i="1"/>
  <c r="E129" i="1"/>
  <c r="E43" i="1"/>
  <c r="E159" i="1"/>
  <c r="E210" i="1"/>
  <c r="E123" i="1"/>
  <c r="E42" i="1"/>
  <c r="E122" i="1"/>
  <c r="E195" i="1"/>
  <c r="E121" i="1"/>
  <c r="E40" i="1"/>
  <c r="E79" i="1"/>
  <c r="E41" i="1"/>
  <c r="E288" i="1"/>
  <c r="E194" i="1"/>
  <c r="E113" i="1"/>
  <c r="E30" i="1"/>
  <c r="E257" i="1"/>
  <c r="C79" i="1"/>
  <c r="K136" i="1"/>
  <c r="E170" i="1"/>
  <c r="E12" i="1"/>
  <c r="E179" i="1"/>
  <c r="J63" i="1"/>
  <c r="E240" i="1"/>
  <c r="E169" i="1"/>
  <c r="I43" i="1"/>
  <c r="E239" i="1"/>
  <c r="E90" i="1"/>
  <c r="E178" i="1"/>
  <c r="E273" i="1"/>
  <c r="E272" i="1"/>
  <c r="K183" i="1"/>
  <c r="E299" i="1"/>
  <c r="E233" i="1"/>
  <c r="E135" i="1"/>
  <c r="E101" i="1"/>
  <c r="E35" i="1"/>
  <c r="E276" i="1"/>
  <c r="E175" i="1"/>
  <c r="I168" i="1"/>
  <c r="E267" i="1"/>
  <c r="E232" i="1"/>
  <c r="E200" i="1"/>
  <c r="E100" i="1"/>
  <c r="E34" i="1"/>
  <c r="I154" i="1"/>
  <c r="E297" i="1"/>
  <c r="E231" i="1"/>
  <c r="E199" i="1"/>
  <c r="E163" i="1"/>
  <c r="E99" i="1"/>
  <c r="E63" i="1"/>
  <c r="E33" i="1"/>
  <c r="E296" i="1"/>
  <c r="E260" i="1"/>
  <c r="E198" i="1"/>
  <c r="E162" i="1"/>
  <c r="E98" i="1"/>
  <c r="E62" i="1"/>
  <c r="E32" i="1"/>
  <c r="E158" i="1"/>
  <c r="E58" i="1"/>
  <c r="E253" i="1"/>
  <c r="E155" i="1"/>
  <c r="E55" i="1"/>
  <c r="E287" i="1"/>
  <c r="E252" i="1"/>
  <c r="E154" i="1"/>
  <c r="E120" i="1"/>
  <c r="E54" i="1"/>
  <c r="E20" i="1"/>
  <c r="E317" i="1"/>
  <c r="E251" i="1"/>
  <c r="E183" i="1"/>
  <c r="E119" i="1"/>
  <c r="E83" i="1"/>
  <c r="E53" i="1"/>
  <c r="E19" i="1"/>
  <c r="E316" i="1"/>
  <c r="E280" i="1"/>
  <c r="E250" i="1"/>
  <c r="E218" i="1"/>
  <c r="E182" i="1"/>
  <c r="E152" i="1"/>
  <c r="E118" i="1"/>
  <c r="E82" i="1"/>
  <c r="E52" i="1"/>
  <c r="E18" i="1"/>
  <c r="E313" i="1"/>
  <c r="E279" i="1"/>
  <c r="E248" i="1"/>
  <c r="E215" i="1"/>
  <c r="E181" i="1"/>
  <c r="E150" i="1"/>
  <c r="E81" i="1"/>
  <c r="E50" i="1"/>
  <c r="E15" i="1"/>
  <c r="E278" i="1"/>
  <c r="E247" i="1"/>
  <c r="E214" i="1"/>
  <c r="E180" i="1"/>
  <c r="E149" i="1"/>
  <c r="E49" i="1"/>
  <c r="E14" i="1"/>
  <c r="E78" i="1"/>
  <c r="E74" i="1"/>
  <c r="E271" i="1"/>
  <c r="E237" i="1"/>
  <c r="E203" i="1"/>
  <c r="E173" i="1"/>
  <c r="E139" i="1"/>
  <c r="E103" i="1"/>
  <c r="E39" i="1"/>
  <c r="K314" i="1"/>
  <c r="E300" i="1"/>
  <c r="E236" i="1"/>
  <c r="E202" i="1"/>
  <c r="E138" i="1"/>
  <c r="E102" i="1"/>
  <c r="E38" i="1"/>
  <c r="E3" i="1"/>
  <c r="J184" i="1"/>
  <c r="K184" i="1"/>
  <c r="C146" i="1"/>
  <c r="E146" i="1"/>
  <c r="D145" i="1"/>
  <c r="E145" i="1"/>
  <c r="I146" i="1"/>
  <c r="K146" i="1"/>
  <c r="C105" i="1"/>
  <c r="E105" i="1"/>
  <c r="I303" i="1"/>
  <c r="K303" i="1"/>
  <c r="I184" i="1"/>
  <c r="J166" i="1"/>
  <c r="E104" i="1"/>
  <c r="C108" i="1"/>
  <c r="E108" i="1"/>
  <c r="K148" i="1"/>
  <c r="I148" i="1"/>
  <c r="I128" i="1"/>
  <c r="J128" i="1"/>
  <c r="K128" i="1"/>
  <c r="I186" i="1"/>
  <c r="K186" i="1"/>
  <c r="I166" i="1"/>
  <c r="F266" i="1"/>
  <c r="E266" i="1"/>
  <c r="F188" i="1"/>
  <c r="E188" i="1"/>
  <c r="D305" i="1"/>
  <c r="E305" i="1"/>
  <c r="F265" i="1"/>
  <c r="E265" i="1"/>
  <c r="F187" i="1"/>
  <c r="E187" i="1"/>
  <c r="F147" i="1"/>
  <c r="E147" i="1"/>
  <c r="D107" i="1"/>
  <c r="E107" i="1"/>
  <c r="K305" i="1"/>
  <c r="J305" i="1"/>
  <c r="K147" i="1"/>
  <c r="I147" i="1"/>
  <c r="I314" i="1"/>
  <c r="E315" i="1"/>
  <c r="E295" i="1"/>
  <c r="E275" i="1"/>
  <c r="E255" i="1"/>
  <c r="E235" i="1"/>
  <c r="E217" i="1"/>
  <c r="E197" i="1"/>
  <c r="E177" i="1"/>
  <c r="E157" i="1"/>
  <c r="E137" i="1"/>
  <c r="E117" i="1"/>
  <c r="E97" i="1"/>
  <c r="E77" i="1"/>
  <c r="E57" i="1"/>
  <c r="E37" i="1"/>
  <c r="E17" i="1"/>
  <c r="K313" i="1"/>
  <c r="E294" i="1"/>
  <c r="E274" i="1"/>
  <c r="E254" i="1"/>
  <c r="E196" i="1"/>
  <c r="E176" i="1"/>
  <c r="E156" i="1"/>
  <c r="E96" i="1"/>
  <c r="E76" i="1"/>
  <c r="E56" i="1"/>
  <c r="E16" i="1"/>
  <c r="J143" i="1"/>
  <c r="J241" i="1"/>
  <c r="J136" i="1"/>
  <c r="I241" i="1"/>
  <c r="E309" i="1"/>
  <c r="E289" i="1"/>
  <c r="E269" i="1"/>
  <c r="E211" i="1"/>
  <c r="E191" i="1"/>
  <c r="E131" i="1"/>
  <c r="E91" i="1"/>
  <c r="E51" i="1"/>
  <c r="I216" i="1"/>
  <c r="K214" i="1"/>
  <c r="K117" i="1"/>
  <c r="K194" i="1"/>
  <c r="K116" i="1"/>
  <c r="I214" i="1"/>
  <c r="I103" i="1"/>
  <c r="J118" i="1"/>
  <c r="J83" i="1"/>
  <c r="K164" i="1"/>
  <c r="K311" i="1"/>
  <c r="K222" i="1"/>
  <c r="K185" i="1"/>
  <c r="I155" i="1"/>
  <c r="K135" i="1"/>
  <c r="I85" i="1"/>
  <c r="J283" i="1"/>
  <c r="K193" i="1"/>
  <c r="K24" i="1"/>
  <c r="I193" i="1"/>
  <c r="J164" i="1"/>
  <c r="I99" i="1"/>
  <c r="J311" i="1"/>
  <c r="K219" i="1"/>
  <c r="I185" i="1"/>
  <c r="K154" i="1"/>
  <c r="I135" i="1"/>
  <c r="K83" i="1"/>
  <c r="J133" i="1"/>
  <c r="K153" i="1"/>
  <c r="I133" i="1"/>
  <c r="J65" i="1"/>
  <c r="J153" i="1"/>
  <c r="I65" i="1"/>
  <c r="J303" i="1"/>
  <c r="K213" i="1"/>
  <c r="K64" i="1"/>
  <c r="K297" i="1"/>
  <c r="J213" i="1"/>
  <c r="J183" i="1"/>
  <c r="J147" i="1"/>
  <c r="J64" i="1"/>
  <c r="J297" i="1"/>
  <c r="K173" i="1"/>
  <c r="J125" i="1"/>
  <c r="K205" i="1"/>
  <c r="J173" i="1"/>
  <c r="J124" i="1"/>
  <c r="I63" i="1"/>
  <c r="K296" i="1"/>
  <c r="J205" i="1"/>
  <c r="J146" i="1"/>
  <c r="K118" i="1"/>
  <c r="K43" i="1"/>
  <c r="I283" i="1"/>
  <c r="J145" i="1"/>
  <c r="J33" i="1"/>
  <c r="J279" i="1"/>
  <c r="K203" i="1"/>
  <c r="I145" i="1"/>
  <c r="J117" i="1"/>
  <c r="I33" i="1"/>
  <c r="I315" i="1"/>
  <c r="K277" i="1"/>
  <c r="J203" i="1"/>
  <c r="K165" i="1"/>
  <c r="K143" i="1"/>
  <c r="K32" i="1"/>
  <c r="K263" i="1"/>
  <c r="J165" i="1"/>
  <c r="K25" i="1"/>
  <c r="I261" i="1"/>
  <c r="I194" i="1"/>
  <c r="I138" i="1"/>
  <c r="J103" i="1"/>
  <c r="I25" i="1"/>
  <c r="J313" i="1"/>
  <c r="K223" i="1"/>
  <c r="K163" i="1"/>
  <c r="K98" i="1"/>
  <c r="K4" i="1"/>
  <c r="I223" i="1"/>
  <c r="J186" i="1"/>
  <c r="I163" i="1"/>
  <c r="J96" i="1"/>
  <c r="J4" i="1"/>
  <c r="K81" i="1"/>
  <c r="J42" i="1"/>
  <c r="K21" i="1"/>
  <c r="J240" i="1"/>
  <c r="K291" i="1"/>
  <c r="K73" i="1"/>
  <c r="K8" i="1"/>
  <c r="J22" i="1"/>
  <c r="I38" i="1"/>
  <c r="J294" i="1"/>
  <c r="J77" i="1"/>
  <c r="K114" i="1"/>
  <c r="J293" i="1"/>
  <c r="I232" i="1"/>
  <c r="I95" i="1"/>
  <c r="J273" i="1"/>
  <c r="I32" i="1"/>
  <c r="I305" i="1"/>
  <c r="I291" i="1"/>
  <c r="J271" i="1"/>
  <c r="I252" i="1"/>
  <c r="I113" i="1"/>
  <c r="K93" i="1"/>
  <c r="I54" i="1"/>
  <c r="K304" i="1"/>
  <c r="J270" i="1"/>
  <c r="K251" i="1"/>
  <c r="K161" i="1"/>
  <c r="I144" i="1"/>
  <c r="K125" i="1"/>
  <c r="J93" i="1"/>
  <c r="J73" i="1"/>
  <c r="K53" i="1"/>
  <c r="I5" i="1"/>
  <c r="I259" i="1"/>
  <c r="J116" i="1"/>
  <c r="I16" i="1"/>
  <c r="K202" i="1"/>
  <c r="I177" i="1"/>
  <c r="I158" i="1"/>
  <c r="J107" i="1"/>
  <c r="J88" i="1"/>
  <c r="J53" i="1"/>
  <c r="I107" i="1"/>
  <c r="I88" i="1"/>
  <c r="I279" i="1"/>
  <c r="K259" i="1"/>
  <c r="K236" i="1"/>
  <c r="I96" i="1"/>
  <c r="K95" i="1"/>
  <c r="K76" i="1"/>
  <c r="K15" i="1"/>
  <c r="I94" i="1"/>
  <c r="I251" i="1"/>
  <c r="K176" i="1"/>
  <c r="J282" i="1"/>
  <c r="J263" i="1"/>
  <c r="K243" i="1"/>
  <c r="J222" i="1"/>
  <c r="J201" i="1"/>
  <c r="J176" i="1"/>
  <c r="J157" i="1"/>
  <c r="I124" i="1"/>
  <c r="K106" i="1"/>
  <c r="J87" i="1"/>
  <c r="K66" i="1"/>
  <c r="K45" i="1"/>
  <c r="J24" i="1"/>
  <c r="K240" i="1"/>
  <c r="I22" i="1"/>
  <c r="J296" i="1"/>
  <c r="I277" i="1"/>
  <c r="J98" i="1"/>
  <c r="J21" i="1"/>
  <c r="K258" i="1"/>
  <c r="J38" i="1"/>
  <c r="J276" i="1"/>
  <c r="K61" i="1"/>
  <c r="K275" i="1"/>
  <c r="I233" i="1"/>
  <c r="I17" i="1"/>
  <c r="J275" i="1"/>
  <c r="K232" i="1"/>
  <c r="K16" i="1"/>
  <c r="K94" i="1"/>
  <c r="I255" i="1"/>
  <c r="K201" i="1"/>
  <c r="K157" i="1"/>
  <c r="K301" i="1"/>
  <c r="K281" i="1"/>
  <c r="I243" i="1"/>
  <c r="I196" i="1"/>
  <c r="K142" i="1"/>
  <c r="K123" i="1"/>
  <c r="K105" i="1"/>
  <c r="I87" i="1"/>
  <c r="J66" i="1"/>
  <c r="J45" i="1"/>
  <c r="K3" i="1"/>
  <c r="I79" i="1"/>
  <c r="K276" i="1"/>
  <c r="J258" i="1"/>
  <c r="K77" i="1"/>
  <c r="K256" i="1"/>
  <c r="J61" i="1"/>
  <c r="J256" i="1"/>
  <c r="J57" i="1"/>
  <c r="I57" i="1"/>
  <c r="K273" i="1"/>
  <c r="K231" i="1"/>
  <c r="K113" i="1"/>
  <c r="I231" i="1"/>
  <c r="I270" i="1"/>
  <c r="J301" i="1"/>
  <c r="I281" i="1"/>
  <c r="K261" i="1"/>
  <c r="K221" i="1"/>
  <c r="K195" i="1"/>
  <c r="K175" i="1"/>
  <c r="K155" i="1"/>
  <c r="K138" i="1"/>
  <c r="J123" i="1"/>
  <c r="J105" i="1"/>
  <c r="K86" i="1"/>
  <c r="K23" i="1"/>
  <c r="J3" i="1"/>
  <c r="K42" i="1"/>
  <c r="K294" i="1"/>
  <c r="K17" i="1"/>
  <c r="K293" i="1"/>
  <c r="K255" i="1"/>
  <c r="I114" i="1"/>
  <c r="J76" i="1"/>
  <c r="K54" i="1"/>
  <c r="I195" i="1"/>
  <c r="J175" i="1"/>
  <c r="J85" i="1"/>
  <c r="K44" i="1"/>
  <c r="J287" i="1"/>
  <c r="I287" i="1"/>
  <c r="I268" i="1"/>
  <c r="K268" i="1"/>
  <c r="J268" i="1"/>
  <c r="I90" i="1"/>
  <c r="J90" i="1"/>
  <c r="K90" i="1"/>
  <c r="I247" i="1"/>
  <c r="J247" i="1"/>
  <c r="K247" i="1"/>
  <c r="J129" i="1"/>
  <c r="K129" i="1"/>
  <c r="I49" i="1"/>
  <c r="K49" i="1"/>
  <c r="J49" i="1"/>
  <c r="K269" i="1"/>
  <c r="J289" i="1"/>
  <c r="I289" i="1"/>
  <c r="K289" i="1"/>
  <c r="I151" i="1"/>
  <c r="J151" i="1"/>
  <c r="K151" i="1"/>
  <c r="I31" i="1"/>
  <c r="K31" i="1"/>
  <c r="J31" i="1"/>
  <c r="K170" i="1"/>
  <c r="I170" i="1"/>
  <c r="J170" i="1"/>
  <c r="J267" i="1"/>
  <c r="K267" i="1"/>
  <c r="I267" i="1"/>
  <c r="J89" i="1"/>
  <c r="K89" i="1"/>
  <c r="I89" i="1"/>
  <c r="I269" i="1"/>
  <c r="K9" i="1"/>
  <c r="J211" i="1"/>
  <c r="K211" i="1"/>
  <c r="I211" i="1"/>
  <c r="I171" i="1"/>
  <c r="J171" i="1"/>
  <c r="K171" i="1"/>
  <c r="I91" i="1"/>
  <c r="J91" i="1"/>
  <c r="K91" i="1"/>
  <c r="J288" i="1"/>
  <c r="K288" i="1"/>
  <c r="J248" i="1"/>
  <c r="K248" i="1"/>
  <c r="I248" i="1"/>
  <c r="I190" i="1"/>
  <c r="J190" i="1"/>
  <c r="K190" i="1"/>
  <c r="I130" i="1"/>
  <c r="J130" i="1"/>
  <c r="K130" i="1"/>
  <c r="I110" i="1"/>
  <c r="J110" i="1"/>
  <c r="K110" i="1"/>
  <c r="I70" i="1"/>
  <c r="J70" i="1"/>
  <c r="K70" i="1"/>
  <c r="I10" i="1"/>
  <c r="J10" i="1"/>
  <c r="K10" i="1"/>
  <c r="J307" i="1"/>
  <c r="K307" i="1"/>
  <c r="K227" i="1"/>
  <c r="I227" i="1"/>
  <c r="J227" i="1"/>
  <c r="J189" i="1"/>
  <c r="K189" i="1"/>
  <c r="I189" i="1"/>
  <c r="I149" i="1"/>
  <c r="J149" i="1"/>
  <c r="K149" i="1"/>
  <c r="I69" i="1"/>
  <c r="J69" i="1"/>
  <c r="K69" i="1"/>
  <c r="J9" i="1"/>
  <c r="I191" i="1"/>
  <c r="J191" i="1"/>
  <c r="K191" i="1"/>
  <c r="J228" i="1"/>
  <c r="I228" i="1"/>
  <c r="K228" i="1"/>
  <c r="J109" i="1"/>
  <c r="K109" i="1"/>
  <c r="I111" i="1"/>
  <c r="K111" i="1"/>
  <c r="J111" i="1"/>
  <c r="I308" i="1"/>
  <c r="J308" i="1"/>
  <c r="K308" i="1"/>
  <c r="I210" i="1"/>
  <c r="J210" i="1"/>
  <c r="K210" i="1"/>
  <c r="I50" i="1"/>
  <c r="J50" i="1"/>
  <c r="K50" i="1"/>
  <c r="J209" i="1"/>
  <c r="K209" i="1"/>
  <c r="I209" i="1"/>
  <c r="I288" i="1"/>
  <c r="J249" i="1"/>
  <c r="K249" i="1"/>
  <c r="I249" i="1"/>
  <c r="I29" i="1"/>
  <c r="J29" i="1"/>
  <c r="K29" i="1"/>
  <c r="I309" i="1"/>
  <c r="K309" i="1"/>
  <c r="J309" i="1"/>
  <c r="I229" i="1"/>
  <c r="J229" i="1"/>
  <c r="K229" i="1"/>
  <c r="I131" i="1"/>
  <c r="J131" i="1"/>
  <c r="K131" i="1"/>
  <c r="I71" i="1"/>
  <c r="J71" i="1"/>
  <c r="K71" i="1"/>
  <c r="J51" i="1"/>
  <c r="K51" i="1"/>
  <c r="I51" i="1"/>
  <c r="I11" i="1"/>
  <c r="K11" i="1"/>
  <c r="I150" i="1"/>
  <c r="J150" i="1"/>
  <c r="K150" i="1"/>
  <c r="K30" i="1"/>
  <c r="I30" i="1"/>
  <c r="J30" i="1"/>
  <c r="I169" i="1"/>
  <c r="J169" i="1"/>
  <c r="K169" i="1"/>
  <c r="I310" i="1"/>
  <c r="J310" i="1"/>
  <c r="K310" i="1"/>
  <c r="I290" i="1"/>
  <c r="J290" i="1"/>
  <c r="K290" i="1"/>
  <c r="I250" i="1"/>
  <c r="J250" i="1"/>
  <c r="K250" i="1"/>
  <c r="J230" i="1"/>
  <c r="I230" i="1"/>
  <c r="K230" i="1"/>
  <c r="J212" i="1"/>
  <c r="K212" i="1"/>
  <c r="I212" i="1"/>
  <c r="K192" i="1"/>
  <c r="J192" i="1"/>
  <c r="I192" i="1"/>
  <c r="I172" i="1"/>
  <c r="J172" i="1"/>
  <c r="K172" i="1"/>
  <c r="I152" i="1"/>
  <c r="J152" i="1"/>
  <c r="K152" i="1"/>
  <c r="I132" i="1"/>
  <c r="J132" i="1"/>
  <c r="K132" i="1"/>
  <c r="I112" i="1"/>
  <c r="J112" i="1"/>
  <c r="K112" i="1"/>
  <c r="J92" i="1"/>
  <c r="I92" i="1"/>
  <c r="K92" i="1"/>
  <c r="I72" i="1"/>
  <c r="J72" i="1"/>
  <c r="K72" i="1"/>
  <c r="I52" i="1"/>
  <c r="J52" i="1"/>
  <c r="K52" i="1"/>
  <c r="K12" i="1"/>
  <c r="I12" i="1"/>
  <c r="J12" i="1"/>
  <c r="I307" i="1"/>
  <c r="K167" i="1"/>
  <c r="I167" i="1"/>
  <c r="J167" i="1"/>
  <c r="K127" i="1"/>
  <c r="I127" i="1"/>
  <c r="K67" i="1"/>
  <c r="I67" i="1"/>
  <c r="J67" i="1"/>
  <c r="K47" i="1"/>
  <c r="I47" i="1"/>
  <c r="K27" i="1"/>
  <c r="I27" i="1"/>
  <c r="J27" i="1"/>
  <c r="J304" i="1"/>
  <c r="J286" i="1"/>
  <c r="J106" i="1"/>
  <c r="J86" i="1"/>
  <c r="J8" i="1"/>
  <c r="I306" i="1"/>
  <c r="J306" i="1"/>
  <c r="K284" i="1"/>
  <c r="J302" i="1"/>
  <c r="K302" i="1"/>
  <c r="J242" i="1"/>
  <c r="K242" i="1"/>
  <c r="I204" i="1"/>
  <c r="J204" i="1"/>
  <c r="I104" i="1"/>
  <c r="J104" i="1"/>
  <c r="K104" i="1"/>
  <c r="J284" i="1"/>
  <c r="K266" i="1"/>
  <c r="J238" i="1"/>
  <c r="J219" i="1"/>
  <c r="I202" i="1"/>
  <c r="J144" i="1"/>
  <c r="K84" i="1"/>
  <c r="J40" i="1"/>
  <c r="I7" i="1"/>
  <c r="I68" i="1"/>
  <c r="J68" i="1"/>
  <c r="J126" i="1"/>
  <c r="K126" i="1"/>
  <c r="I6" i="1"/>
  <c r="J6" i="1"/>
  <c r="K6" i="1"/>
  <c r="I286" i="1"/>
  <c r="D180" i="1"/>
  <c r="J266" i="1"/>
  <c r="I238" i="1"/>
  <c r="J84" i="1"/>
  <c r="I40" i="1"/>
  <c r="J246" i="1"/>
  <c r="K246" i="1"/>
  <c r="I208" i="1"/>
  <c r="J208" i="1"/>
  <c r="C22" i="1"/>
  <c r="D19" i="1"/>
  <c r="J260" i="1"/>
  <c r="K260" i="1"/>
  <c r="J220" i="1"/>
  <c r="K220" i="1"/>
  <c r="I182" i="1"/>
  <c r="J182" i="1"/>
  <c r="I82" i="1"/>
  <c r="J82" i="1"/>
  <c r="K82" i="1"/>
  <c r="I62" i="1"/>
  <c r="J62" i="1"/>
  <c r="I2" i="1"/>
  <c r="I302" i="1"/>
  <c r="K237" i="1"/>
  <c r="K182" i="1"/>
  <c r="K162" i="1"/>
  <c r="K39" i="1"/>
  <c r="I299" i="1"/>
  <c r="J299" i="1"/>
  <c r="K299" i="1"/>
  <c r="I239" i="1"/>
  <c r="J239" i="1"/>
  <c r="I181" i="1"/>
  <c r="J181" i="1"/>
  <c r="I141" i="1"/>
  <c r="J141" i="1"/>
  <c r="K141" i="1"/>
  <c r="I41" i="1"/>
  <c r="J41" i="1"/>
  <c r="K41" i="1"/>
  <c r="J2" i="1"/>
  <c r="K265" i="1"/>
  <c r="J237" i="1"/>
  <c r="K199" i="1"/>
  <c r="K181" i="1"/>
  <c r="J162" i="1"/>
  <c r="K62" i="1"/>
  <c r="J39" i="1"/>
  <c r="I60" i="1"/>
  <c r="J60" i="1"/>
  <c r="I20" i="1"/>
  <c r="J20" i="1"/>
  <c r="J265" i="1"/>
  <c r="I246" i="1"/>
  <c r="J199" i="1"/>
  <c r="K180" i="1"/>
  <c r="K102" i="1"/>
  <c r="I48" i="1"/>
  <c r="J48" i="1"/>
  <c r="K48" i="1"/>
  <c r="F201" i="1"/>
  <c r="D201" i="1"/>
  <c r="J159" i="1"/>
  <c r="K159" i="1"/>
  <c r="J59" i="1"/>
  <c r="K59" i="1"/>
  <c r="K226" i="1"/>
  <c r="J180" i="1"/>
  <c r="I178" i="1"/>
  <c r="J178" i="1"/>
  <c r="K178" i="1"/>
  <c r="J78" i="1"/>
  <c r="K78" i="1"/>
  <c r="I18" i="1"/>
  <c r="J18" i="1"/>
  <c r="K18" i="1"/>
  <c r="J317" i="1"/>
  <c r="K300" i="1"/>
  <c r="I282" i="1"/>
  <c r="K254" i="1"/>
  <c r="I245" i="1"/>
  <c r="J236" i="1"/>
  <c r="J226" i="1"/>
  <c r="J218" i="1"/>
  <c r="K198" i="1"/>
  <c r="J161" i="1"/>
  <c r="J142" i="1"/>
  <c r="J122" i="1"/>
  <c r="I102" i="1"/>
  <c r="J81" i="1"/>
  <c r="K60" i="1"/>
  <c r="K37" i="1"/>
  <c r="J15" i="1"/>
  <c r="I28" i="1"/>
  <c r="J28" i="1"/>
  <c r="I285" i="1"/>
  <c r="J285" i="1"/>
  <c r="K285" i="1"/>
  <c r="K207" i="1"/>
  <c r="J207" i="1"/>
  <c r="I264" i="1"/>
  <c r="J264" i="1"/>
  <c r="K264" i="1"/>
  <c r="J7" i="1"/>
  <c r="I257" i="1"/>
  <c r="J257" i="1"/>
  <c r="K257" i="1"/>
  <c r="K19" i="1"/>
  <c r="I19" i="1"/>
  <c r="K317" i="1"/>
  <c r="J295" i="1"/>
  <c r="K295" i="1"/>
  <c r="J235" i="1"/>
  <c r="I235" i="1"/>
  <c r="K235" i="1"/>
  <c r="J137" i="1"/>
  <c r="K137" i="1"/>
  <c r="I97" i="1"/>
  <c r="J97" i="1"/>
  <c r="K97" i="1"/>
  <c r="J300" i="1"/>
  <c r="K272" i="1"/>
  <c r="J254" i="1"/>
  <c r="K244" i="1"/>
  <c r="K234" i="1"/>
  <c r="I218" i="1"/>
  <c r="K208" i="1"/>
  <c r="J198" i="1"/>
  <c r="K179" i="1"/>
  <c r="K160" i="1"/>
  <c r="K140" i="1"/>
  <c r="I122" i="1"/>
  <c r="K101" i="1"/>
  <c r="K80" i="1"/>
  <c r="I59" i="1"/>
  <c r="J37" i="1"/>
  <c r="F21" i="1"/>
  <c r="D21" i="1"/>
  <c r="I224" i="1"/>
  <c r="J224" i="1"/>
  <c r="I119" i="1"/>
  <c r="J119" i="1"/>
  <c r="K119" i="1"/>
  <c r="J245" i="1"/>
  <c r="J274" i="1"/>
  <c r="K274" i="1"/>
  <c r="I156" i="1"/>
  <c r="J156" i="1"/>
  <c r="K156" i="1"/>
  <c r="I56" i="1"/>
  <c r="J56" i="1"/>
  <c r="I36" i="1"/>
  <c r="J36" i="1"/>
  <c r="K316" i="1"/>
  <c r="J272" i="1"/>
  <c r="J244" i="1"/>
  <c r="J234" i="1"/>
  <c r="J225" i="1"/>
  <c r="K217" i="1"/>
  <c r="I207" i="1"/>
  <c r="K188" i="1"/>
  <c r="J179" i="1"/>
  <c r="J160" i="1"/>
  <c r="J140" i="1"/>
  <c r="K121" i="1"/>
  <c r="J101" i="1"/>
  <c r="J80" i="1"/>
  <c r="K58" i="1"/>
  <c r="J47" i="1"/>
  <c r="C40" i="1"/>
  <c r="K26" i="1"/>
  <c r="I26" i="1"/>
  <c r="J26" i="1"/>
  <c r="I278" i="1"/>
  <c r="J278" i="1"/>
  <c r="K278" i="1"/>
  <c r="J100" i="1"/>
  <c r="K100" i="1"/>
  <c r="J253" i="1"/>
  <c r="K253" i="1"/>
  <c r="I215" i="1"/>
  <c r="J215" i="1"/>
  <c r="K215" i="1"/>
  <c r="J115" i="1"/>
  <c r="K115" i="1"/>
  <c r="I75" i="1"/>
  <c r="J75" i="1"/>
  <c r="K75" i="1"/>
  <c r="I55" i="1"/>
  <c r="J55" i="1"/>
  <c r="K55" i="1"/>
  <c r="J35" i="1"/>
  <c r="K35" i="1"/>
  <c r="J316" i="1"/>
  <c r="K298" i="1"/>
  <c r="K280" i="1"/>
  <c r="J262" i="1"/>
  <c r="I253" i="1"/>
  <c r="I225" i="1"/>
  <c r="J217" i="1"/>
  <c r="K206" i="1"/>
  <c r="K197" i="1"/>
  <c r="I188" i="1"/>
  <c r="I159" i="1"/>
  <c r="J121" i="1"/>
  <c r="I100" i="1"/>
  <c r="J58" i="1"/>
  <c r="J46" i="1"/>
  <c r="K36" i="1"/>
  <c r="I108" i="1"/>
  <c r="J108" i="1"/>
  <c r="I200" i="1"/>
  <c r="J200" i="1"/>
  <c r="K200" i="1"/>
  <c r="I292" i="1"/>
  <c r="J292" i="1"/>
  <c r="K292" i="1"/>
  <c r="J134" i="1"/>
  <c r="I134" i="1"/>
  <c r="K134" i="1"/>
  <c r="J74" i="1"/>
  <c r="K74" i="1"/>
  <c r="J34" i="1"/>
  <c r="I34" i="1"/>
  <c r="K34" i="1"/>
  <c r="J14" i="1"/>
  <c r="K14" i="1"/>
  <c r="J298" i="1"/>
  <c r="J280" i="1"/>
  <c r="I262" i="1"/>
  <c r="K252" i="1"/>
  <c r="K233" i="1"/>
  <c r="K224" i="1"/>
  <c r="J206" i="1"/>
  <c r="J197" i="1"/>
  <c r="J187" i="1"/>
  <c r="K177" i="1"/>
  <c r="K168" i="1"/>
  <c r="K158" i="1"/>
  <c r="K139" i="1"/>
  <c r="K120" i="1"/>
  <c r="K99" i="1"/>
  <c r="K79" i="1"/>
  <c r="I46" i="1"/>
  <c r="I35" i="1"/>
  <c r="J312" i="1"/>
  <c r="K312" i="1"/>
  <c r="J174" i="1"/>
  <c r="I174" i="1"/>
  <c r="K174" i="1"/>
  <c r="J315" i="1"/>
  <c r="K216" i="1"/>
  <c r="J196" i="1"/>
  <c r="I187" i="1"/>
  <c r="J148" i="1"/>
  <c r="J139" i="1"/>
  <c r="J120" i="1"/>
  <c r="I13" i="1"/>
  <c r="J13" i="1"/>
  <c r="J5" i="1"/>
  <c r="J44" i="1"/>
  <c r="K271" i="1"/>
  <c r="I221" i="1"/>
  <c r="D56" i="1"/>
  <c r="D16" i="1"/>
  <c r="F275" i="1"/>
  <c r="F271" i="1"/>
  <c r="F260" i="1"/>
  <c r="F217" i="1"/>
  <c r="C77" i="1"/>
  <c r="C57" i="1"/>
  <c r="C15" i="1"/>
  <c r="C137" i="1"/>
  <c r="F37" i="1"/>
  <c r="C83" i="1"/>
  <c r="F14" i="1"/>
  <c r="C265" i="1"/>
  <c r="F253" i="1"/>
  <c r="C19" i="1"/>
  <c r="F215" i="1"/>
  <c r="C255" i="1"/>
  <c r="C17" i="1"/>
  <c r="F119" i="1"/>
  <c r="C237" i="1"/>
  <c r="F99" i="1"/>
  <c r="F98" i="1"/>
  <c r="C233" i="1"/>
  <c r="F97" i="1"/>
  <c r="C199" i="1"/>
  <c r="D162" i="1"/>
  <c r="C162" i="1"/>
  <c r="D90" i="1"/>
  <c r="F59" i="1"/>
  <c r="D82" i="1"/>
  <c r="C175" i="1"/>
  <c r="D159" i="1"/>
  <c r="C159" i="1"/>
  <c r="D62" i="1"/>
  <c r="F35" i="1"/>
  <c r="C135" i="1"/>
  <c r="D22" i="1"/>
  <c r="F238" i="1"/>
  <c r="C30" i="1"/>
  <c r="F83" i="1"/>
  <c r="C190" i="1"/>
  <c r="D59" i="1"/>
  <c r="C169" i="1"/>
  <c r="C29" i="1"/>
  <c r="F82" i="1"/>
  <c r="C163" i="1"/>
  <c r="C23" i="1"/>
  <c r="D42" i="1"/>
  <c r="F218" i="1"/>
  <c r="F78" i="1"/>
  <c r="F214" i="1"/>
  <c r="C157" i="1"/>
  <c r="F213" i="1"/>
  <c r="F42" i="1"/>
  <c r="F252" i="1"/>
  <c r="F53" i="1"/>
  <c r="C273" i="1"/>
  <c r="F197" i="1"/>
  <c r="F41" i="1"/>
  <c r="C266" i="1"/>
  <c r="F278" i="1"/>
  <c r="F193" i="1"/>
  <c r="D240" i="1"/>
  <c r="F276" i="1"/>
  <c r="F38" i="1"/>
  <c r="F113" i="1"/>
  <c r="C260" i="1"/>
  <c r="C259" i="1"/>
  <c r="D200" i="1"/>
  <c r="C258" i="1"/>
  <c r="C99" i="1"/>
  <c r="D199" i="1"/>
  <c r="F273" i="1"/>
  <c r="F157" i="1"/>
  <c r="F34" i="1"/>
  <c r="F251" i="1"/>
  <c r="F163" i="1"/>
  <c r="C257" i="1"/>
  <c r="C97" i="1"/>
  <c r="F272" i="1"/>
  <c r="F154" i="1"/>
  <c r="F33" i="1"/>
  <c r="D169" i="1"/>
  <c r="F255" i="1"/>
  <c r="F198" i="1"/>
  <c r="F146" i="1"/>
  <c r="F77" i="1"/>
  <c r="F90" i="1"/>
  <c r="F32" i="1"/>
  <c r="F30" i="1"/>
  <c r="D300" i="1"/>
  <c r="F62" i="1"/>
  <c r="C300" i="1"/>
  <c r="C215" i="1"/>
  <c r="D297" i="1"/>
  <c r="D122" i="1"/>
  <c r="F316" i="1"/>
  <c r="F240" i="1"/>
  <c r="F190" i="1"/>
  <c r="F123" i="1"/>
  <c r="F61" i="1"/>
  <c r="F23" i="1"/>
  <c r="F143" i="1"/>
  <c r="F63" i="1"/>
  <c r="C220" i="1"/>
  <c r="C63" i="1"/>
  <c r="F192" i="1"/>
  <c r="F142" i="1"/>
  <c r="F29" i="1"/>
  <c r="C295" i="1"/>
  <c r="D119" i="1"/>
  <c r="F315" i="1"/>
  <c r="F239" i="1"/>
  <c r="F189" i="1"/>
  <c r="F122" i="1"/>
  <c r="F60" i="1"/>
  <c r="D266" i="1"/>
  <c r="F310" i="1"/>
  <c r="F18" i="1"/>
  <c r="C202" i="1"/>
  <c r="C55" i="1"/>
  <c r="D265" i="1"/>
  <c r="F237" i="1"/>
  <c r="F118" i="1"/>
  <c r="F58" i="1"/>
  <c r="F17" i="1"/>
  <c r="C197" i="1"/>
  <c r="C103" i="1"/>
  <c r="C50" i="1"/>
  <c r="D257" i="1"/>
  <c r="F295" i="1"/>
  <c r="F232" i="1"/>
  <c r="F104" i="1"/>
  <c r="F56" i="1"/>
  <c r="F13" i="1"/>
  <c r="F152" i="1"/>
  <c r="C110" i="1"/>
  <c r="D108" i="1"/>
  <c r="F296" i="1"/>
  <c r="F236" i="1"/>
  <c r="F57" i="1"/>
  <c r="C102" i="1"/>
  <c r="D254" i="1"/>
  <c r="D102" i="1"/>
  <c r="F280" i="1"/>
  <c r="F231" i="1"/>
  <c r="F175" i="1"/>
  <c r="F103" i="1"/>
  <c r="F55" i="1"/>
  <c r="F12" i="1"/>
  <c r="D50" i="1"/>
  <c r="F145" i="1"/>
  <c r="C221" i="1"/>
  <c r="C203" i="1"/>
  <c r="C123" i="1"/>
  <c r="D110" i="1"/>
  <c r="C101" i="1"/>
  <c r="D248" i="1"/>
  <c r="D101" i="1"/>
  <c r="F279" i="1"/>
  <c r="F221" i="1"/>
  <c r="F173" i="1"/>
  <c r="F54" i="1"/>
  <c r="F306" i="1"/>
  <c r="C306" i="1"/>
  <c r="F286" i="1"/>
  <c r="D286" i="1"/>
  <c r="C286" i="1"/>
  <c r="F246" i="1"/>
  <c r="D246" i="1"/>
  <c r="C246" i="1"/>
  <c r="F226" i="1"/>
  <c r="D226" i="1"/>
  <c r="C208" i="1"/>
  <c r="D208" i="1"/>
  <c r="F208" i="1"/>
  <c r="D188" i="1"/>
  <c r="C188" i="1"/>
  <c r="F168" i="1"/>
  <c r="D168" i="1"/>
  <c r="D148" i="1"/>
  <c r="C148" i="1"/>
  <c r="D128" i="1"/>
  <c r="F128" i="1"/>
  <c r="C128" i="1"/>
  <c r="F88" i="1"/>
  <c r="D88" i="1"/>
  <c r="C88" i="1"/>
  <c r="F68" i="1"/>
  <c r="D68" i="1"/>
  <c r="C68" i="1"/>
  <c r="F48" i="1"/>
  <c r="C48" i="1"/>
  <c r="D48" i="1"/>
  <c r="D28" i="1"/>
  <c r="F28" i="1"/>
  <c r="C28" i="1"/>
  <c r="C8" i="1"/>
  <c r="F8" i="1"/>
  <c r="D8" i="1"/>
  <c r="F108" i="1"/>
  <c r="C305" i="1"/>
  <c r="F305" i="1"/>
  <c r="F285" i="1"/>
  <c r="D285" i="1"/>
  <c r="C285" i="1"/>
  <c r="F245" i="1"/>
  <c r="C245" i="1"/>
  <c r="D245" i="1"/>
  <c r="D225" i="1"/>
  <c r="F225" i="1"/>
  <c r="C207" i="1"/>
  <c r="F207" i="1"/>
  <c r="D187" i="1"/>
  <c r="C187" i="1"/>
  <c r="F167" i="1"/>
  <c r="C167" i="1"/>
  <c r="D167" i="1"/>
  <c r="D147" i="1"/>
  <c r="C147" i="1"/>
  <c r="D127" i="1"/>
  <c r="C127" i="1"/>
  <c r="F127" i="1"/>
  <c r="C107" i="1"/>
  <c r="F107" i="1"/>
  <c r="F87" i="1"/>
  <c r="D87" i="1"/>
  <c r="C87" i="1"/>
  <c r="C67" i="1"/>
  <c r="F67" i="1"/>
  <c r="D67" i="1"/>
  <c r="F47" i="1"/>
  <c r="C47" i="1"/>
  <c r="D47" i="1"/>
  <c r="D27" i="1"/>
  <c r="F27" i="1"/>
  <c r="C27" i="1"/>
  <c r="C7" i="1"/>
  <c r="F7" i="1"/>
  <c r="D7" i="1"/>
  <c r="C168" i="1"/>
  <c r="D207" i="1"/>
  <c r="F105" i="1"/>
  <c r="C46" i="1"/>
  <c r="F46" i="1"/>
  <c r="C6" i="1"/>
  <c r="F6" i="1"/>
  <c r="C185" i="1"/>
  <c r="F185" i="1"/>
  <c r="C302" i="1"/>
  <c r="F302" i="1"/>
  <c r="C186" i="1"/>
  <c r="F186" i="1"/>
  <c r="C284" i="1"/>
  <c r="F284" i="1"/>
  <c r="C206" i="1"/>
  <c r="F206" i="1"/>
  <c r="C106" i="1"/>
  <c r="F106" i="1"/>
  <c r="C283" i="1"/>
  <c r="F283" i="1"/>
  <c r="C223" i="1"/>
  <c r="F223" i="1"/>
  <c r="C165" i="1"/>
  <c r="F165" i="1"/>
  <c r="C45" i="1"/>
  <c r="F45" i="1"/>
  <c r="C5" i="1"/>
  <c r="F5" i="1"/>
  <c r="C242" i="1"/>
  <c r="F242" i="1"/>
  <c r="C204" i="1"/>
  <c r="F204" i="1"/>
  <c r="C144" i="1"/>
  <c r="F144" i="1"/>
  <c r="C124" i="1"/>
  <c r="F124" i="1"/>
  <c r="C64" i="1"/>
  <c r="F64" i="1"/>
  <c r="C24" i="1"/>
  <c r="F24" i="1"/>
  <c r="D241" i="1"/>
  <c r="F241" i="1"/>
  <c r="C241" i="1"/>
  <c r="C226" i="1"/>
  <c r="C224" i="1"/>
  <c r="F224" i="1"/>
  <c r="C86" i="1"/>
  <c r="F86" i="1"/>
  <c r="D263" i="1"/>
  <c r="F263" i="1"/>
  <c r="C85" i="1"/>
  <c r="F85" i="1"/>
  <c r="C25" i="1"/>
  <c r="F25" i="1"/>
  <c r="C282" i="1"/>
  <c r="F282" i="1"/>
  <c r="C164" i="1"/>
  <c r="F164" i="1"/>
  <c r="C84" i="1"/>
  <c r="F84" i="1"/>
  <c r="D281" i="1"/>
  <c r="C281" i="1"/>
  <c r="F281" i="1"/>
  <c r="D261" i="1"/>
  <c r="C261" i="1"/>
  <c r="F261" i="1"/>
  <c r="D304" i="1"/>
  <c r="F304" i="1"/>
  <c r="C166" i="1"/>
  <c r="F166" i="1"/>
  <c r="C26" i="1"/>
  <c r="F26" i="1"/>
  <c r="D65" i="1"/>
  <c r="F65" i="1"/>
  <c r="C264" i="1"/>
  <c r="F264" i="1"/>
  <c r="C244" i="1"/>
  <c r="F244" i="1"/>
  <c r="C126" i="1"/>
  <c r="F126" i="1"/>
  <c r="C66" i="1"/>
  <c r="F66" i="1"/>
  <c r="C303" i="1"/>
  <c r="F303" i="1"/>
  <c r="C243" i="1"/>
  <c r="F243" i="1"/>
  <c r="C205" i="1"/>
  <c r="F205" i="1"/>
  <c r="C125" i="1"/>
  <c r="F125" i="1"/>
  <c r="C262" i="1"/>
  <c r="F262" i="1"/>
  <c r="C222" i="1"/>
  <c r="F222" i="1"/>
  <c r="C184" i="1"/>
  <c r="F184" i="1"/>
  <c r="C44" i="1"/>
  <c r="F44" i="1"/>
  <c r="C4" i="1"/>
  <c r="F4" i="1"/>
  <c r="D301" i="1"/>
  <c r="C301" i="1"/>
  <c r="F301" i="1"/>
  <c r="C225" i="1"/>
  <c r="D306" i="1"/>
  <c r="F148" i="1"/>
  <c r="D259" i="1"/>
  <c r="D258" i="1"/>
  <c r="C140" i="1"/>
  <c r="C314" i="1"/>
  <c r="F314" i="1"/>
  <c r="C294" i="1"/>
  <c r="F294" i="1"/>
  <c r="C274" i="1"/>
  <c r="D274" i="1"/>
  <c r="C234" i="1"/>
  <c r="D234" i="1"/>
  <c r="F234" i="1"/>
  <c r="C216" i="1"/>
  <c r="F216" i="1"/>
  <c r="D216" i="1"/>
  <c r="C196" i="1"/>
  <c r="F196" i="1"/>
  <c r="C176" i="1"/>
  <c r="D176" i="1"/>
  <c r="C156" i="1"/>
  <c r="F156" i="1"/>
  <c r="C136" i="1"/>
  <c r="F136" i="1"/>
  <c r="D136" i="1"/>
  <c r="C116" i="1"/>
  <c r="D116" i="1"/>
  <c r="F116" i="1"/>
  <c r="C96" i="1"/>
  <c r="D96" i="1"/>
  <c r="C76" i="1"/>
  <c r="D76" i="1"/>
  <c r="C36" i="1"/>
  <c r="D36" i="1"/>
  <c r="F36" i="1"/>
  <c r="C239" i="1"/>
  <c r="C20" i="1"/>
  <c r="F254" i="1"/>
  <c r="F16" i="1"/>
  <c r="C201" i="1"/>
  <c r="F161" i="1"/>
  <c r="C161" i="1"/>
  <c r="D161" i="1"/>
  <c r="D60" i="1"/>
  <c r="F212" i="1"/>
  <c r="F52" i="1"/>
  <c r="F100" i="1"/>
  <c r="D100" i="1"/>
  <c r="D61" i="1"/>
  <c r="F141" i="1"/>
  <c r="D293" i="1"/>
  <c r="F293" i="1"/>
  <c r="C189" i="1"/>
  <c r="C270" i="1"/>
  <c r="F270" i="1"/>
  <c r="C230" i="1"/>
  <c r="F230" i="1"/>
  <c r="C172" i="1"/>
  <c r="F172" i="1"/>
  <c r="C132" i="1"/>
  <c r="F132" i="1"/>
  <c r="F250" i="1"/>
  <c r="D80" i="1"/>
  <c r="C80" i="1"/>
  <c r="F20" i="1"/>
  <c r="D313" i="1"/>
  <c r="F313" i="1"/>
  <c r="C238" i="1"/>
  <c r="D141" i="1"/>
  <c r="C112" i="1"/>
  <c r="F112" i="1"/>
  <c r="C72" i="1"/>
  <c r="F72" i="1"/>
  <c r="D309" i="1"/>
  <c r="F309" i="1"/>
  <c r="D289" i="1"/>
  <c r="F289" i="1"/>
  <c r="D269" i="1"/>
  <c r="F269" i="1"/>
  <c r="D249" i="1"/>
  <c r="F249" i="1"/>
  <c r="C249" i="1"/>
  <c r="D229" i="1"/>
  <c r="F229" i="1"/>
  <c r="D211" i="1"/>
  <c r="F211" i="1"/>
  <c r="D191" i="1"/>
  <c r="F191" i="1"/>
  <c r="D171" i="1"/>
  <c r="F171" i="1"/>
  <c r="C171" i="1"/>
  <c r="D151" i="1"/>
  <c r="F151" i="1"/>
  <c r="C151" i="1"/>
  <c r="D131" i="1"/>
  <c r="F131" i="1"/>
  <c r="D111" i="1"/>
  <c r="F111" i="1"/>
  <c r="C111" i="1"/>
  <c r="D91" i="1"/>
  <c r="F91" i="1"/>
  <c r="D71" i="1"/>
  <c r="F71" i="1"/>
  <c r="C71" i="1"/>
  <c r="D51" i="1"/>
  <c r="F51" i="1"/>
  <c r="D31" i="1"/>
  <c r="F31" i="1"/>
  <c r="C31" i="1"/>
  <c r="D11" i="1"/>
  <c r="F11" i="1"/>
  <c r="C11" i="1"/>
  <c r="C279" i="1"/>
  <c r="C229" i="1"/>
  <c r="D314" i="1"/>
  <c r="D121" i="1"/>
  <c r="F248" i="1"/>
  <c r="F40" i="1"/>
  <c r="F299" i="1"/>
  <c r="D299" i="1"/>
  <c r="F298" i="1"/>
  <c r="C298" i="1"/>
  <c r="D298" i="1"/>
  <c r="D160" i="1"/>
  <c r="F160" i="1"/>
  <c r="C200" i="1"/>
  <c r="F140" i="1"/>
  <c r="C290" i="1"/>
  <c r="F290" i="1"/>
  <c r="C92" i="1"/>
  <c r="F92" i="1"/>
  <c r="F308" i="1"/>
  <c r="C308" i="1"/>
  <c r="F288" i="1"/>
  <c r="D288" i="1"/>
  <c r="D268" i="1"/>
  <c r="F268" i="1"/>
  <c r="D228" i="1"/>
  <c r="F228" i="1"/>
  <c r="C210" i="1"/>
  <c r="D210" i="1"/>
  <c r="F170" i="1"/>
  <c r="C170" i="1"/>
  <c r="C150" i="1"/>
  <c r="D150" i="1"/>
  <c r="D130" i="1"/>
  <c r="F130" i="1"/>
  <c r="C70" i="1"/>
  <c r="F70" i="1"/>
  <c r="D70" i="1"/>
  <c r="C10" i="1"/>
  <c r="F10" i="1"/>
  <c r="D10" i="1"/>
  <c r="C278" i="1"/>
  <c r="C228" i="1"/>
  <c r="C180" i="1"/>
  <c r="D308" i="1"/>
  <c r="D120" i="1"/>
  <c r="F121" i="1"/>
  <c r="F219" i="1"/>
  <c r="C219" i="1"/>
  <c r="D181" i="1"/>
  <c r="F181" i="1"/>
  <c r="C81" i="1"/>
  <c r="D81" i="1"/>
  <c r="F307" i="1"/>
  <c r="C307" i="1"/>
  <c r="F287" i="1"/>
  <c r="D287" i="1"/>
  <c r="D267" i="1"/>
  <c r="F267" i="1"/>
  <c r="C247" i="1"/>
  <c r="F247" i="1"/>
  <c r="D227" i="1"/>
  <c r="F227" i="1"/>
  <c r="C209" i="1"/>
  <c r="D209" i="1"/>
  <c r="C149" i="1"/>
  <c r="D149" i="1"/>
  <c r="F129" i="1"/>
  <c r="C129" i="1"/>
  <c r="F109" i="1"/>
  <c r="C109" i="1"/>
  <c r="F89" i="1"/>
  <c r="D89" i="1"/>
  <c r="D69" i="1"/>
  <c r="F69" i="1"/>
  <c r="C69" i="1"/>
  <c r="D49" i="1"/>
  <c r="F49" i="1"/>
  <c r="C9" i="1"/>
  <c r="F9" i="1"/>
  <c r="D9" i="1"/>
  <c r="C227" i="1"/>
  <c r="D307" i="1"/>
  <c r="F120" i="1"/>
  <c r="F80" i="1"/>
  <c r="D179" i="1"/>
  <c r="C179" i="1"/>
  <c r="C39" i="1"/>
  <c r="D39" i="1"/>
  <c r="F79" i="1"/>
  <c r="F15" i="1"/>
  <c r="D317" i="1"/>
  <c r="C317" i="1"/>
  <c r="F277" i="1"/>
  <c r="C277" i="1"/>
  <c r="D277" i="1"/>
  <c r="D139" i="1"/>
  <c r="F139" i="1"/>
  <c r="C35" i="1"/>
  <c r="F297" i="1"/>
  <c r="F233" i="1"/>
  <c r="D95" i="1"/>
  <c r="F95" i="1"/>
  <c r="D75" i="1"/>
  <c r="C75" i="1"/>
  <c r="F75" i="1"/>
  <c r="C312" i="1"/>
  <c r="F312" i="1"/>
  <c r="C292" i="1"/>
  <c r="F292" i="1"/>
  <c r="C174" i="1"/>
  <c r="F174" i="1"/>
  <c r="C134" i="1"/>
  <c r="F134" i="1"/>
  <c r="C114" i="1"/>
  <c r="F114" i="1"/>
  <c r="C94" i="1"/>
  <c r="F94" i="1"/>
  <c r="F74" i="1"/>
  <c r="D195" i="1"/>
  <c r="F195" i="1"/>
  <c r="D155" i="1"/>
  <c r="F155" i="1"/>
  <c r="D115" i="1"/>
  <c r="F115" i="1"/>
  <c r="C115" i="1"/>
  <c r="F135" i="1"/>
  <c r="C311" i="1"/>
  <c r="F311" i="1"/>
  <c r="C291" i="1"/>
  <c r="F291" i="1"/>
  <c r="C153" i="1"/>
  <c r="F153" i="1"/>
  <c r="C133" i="1"/>
  <c r="F133" i="1"/>
  <c r="C93" i="1"/>
  <c r="F93" i="1"/>
  <c r="C73" i="1"/>
  <c r="F73" i="1"/>
  <c r="C253" i="1"/>
  <c r="F194" i="1"/>
  <c r="D41" i="1"/>
  <c r="F183" i="1"/>
  <c r="F117" i="1"/>
  <c r="C183" i="1"/>
  <c r="C117" i="1"/>
  <c r="D280" i="1"/>
  <c r="F182" i="1"/>
  <c r="F138" i="1"/>
  <c r="C315" i="1"/>
  <c r="C217" i="1"/>
  <c r="C182" i="1"/>
  <c r="C43" i="1"/>
  <c r="F203" i="1"/>
  <c r="F137" i="1"/>
  <c r="F3" i="1"/>
  <c r="F202" i="1"/>
  <c r="F158" i="1"/>
  <c r="C256" i="1"/>
  <c r="F256" i="1"/>
  <c r="C143" i="1"/>
  <c r="F220" i="1"/>
  <c r="F178" i="1"/>
  <c r="D235" i="1"/>
  <c r="F235" i="1"/>
  <c r="C275" i="1"/>
  <c r="C177" i="1"/>
  <c r="C142" i="1"/>
  <c r="C37" i="1"/>
  <c r="F177" i="1"/>
  <c r="F43" i="1"/>
  <c r="D316" i="1"/>
  <c r="D296" i="1"/>
  <c r="D276" i="1"/>
  <c r="D256" i="1"/>
  <c r="D236" i="1"/>
  <c r="D218" i="1"/>
  <c r="D198" i="1"/>
  <c r="D178" i="1"/>
  <c r="D158" i="1"/>
  <c r="D138" i="1"/>
  <c r="D118" i="1"/>
  <c r="D98" i="1"/>
  <c r="D78" i="1"/>
  <c r="D58" i="1"/>
  <c r="D38" i="1"/>
  <c r="D18" i="1"/>
  <c r="D312" i="1"/>
  <c r="D292" i="1"/>
  <c r="D272" i="1"/>
  <c r="D252" i="1"/>
  <c r="D232" i="1"/>
  <c r="D214" i="1"/>
  <c r="D194" i="1"/>
  <c r="D174" i="1"/>
  <c r="D154" i="1"/>
  <c r="D134" i="1"/>
  <c r="D114" i="1"/>
  <c r="D94" i="1"/>
  <c r="D74" i="1"/>
  <c r="D54" i="1"/>
  <c r="D34" i="1"/>
  <c r="D14" i="1"/>
  <c r="D311" i="1"/>
  <c r="D291" i="1"/>
  <c r="D271" i="1"/>
  <c r="D251" i="1"/>
  <c r="D231" i="1"/>
  <c r="D213" i="1"/>
  <c r="D193" i="1"/>
  <c r="D173" i="1"/>
  <c r="D153" i="1"/>
  <c r="D133" i="1"/>
  <c r="D113" i="1"/>
  <c r="D93" i="1"/>
  <c r="D73" i="1"/>
  <c r="D53" i="1"/>
  <c r="D33" i="1"/>
  <c r="D13" i="1"/>
  <c r="D310" i="1"/>
  <c r="D290" i="1"/>
  <c r="D270" i="1"/>
  <c r="D250" i="1"/>
  <c r="D230" i="1"/>
  <c r="D212" i="1"/>
  <c r="D192" i="1"/>
  <c r="D172" i="1"/>
  <c r="D152" i="1"/>
  <c r="D132" i="1"/>
  <c r="D112" i="1"/>
  <c r="D92" i="1"/>
  <c r="D72" i="1"/>
  <c r="D52" i="1"/>
  <c r="D32" i="1"/>
  <c r="D12" i="1"/>
  <c r="D264" i="1"/>
  <c r="D244" i="1"/>
  <c r="D186" i="1"/>
  <c r="D166" i="1"/>
  <c r="D146" i="1"/>
  <c r="D126" i="1"/>
  <c r="D106" i="1"/>
  <c r="D86" i="1"/>
  <c r="D66" i="1"/>
  <c r="D46" i="1"/>
  <c r="D26" i="1"/>
  <c r="D6" i="1"/>
  <c r="D185" i="1"/>
  <c r="D85" i="1"/>
  <c r="D25" i="1"/>
  <c r="D5" i="1"/>
  <c r="D284" i="1"/>
  <c r="D224" i="1"/>
  <c r="C304" i="1"/>
  <c r="D303" i="1"/>
  <c r="D283" i="1"/>
  <c r="D243" i="1"/>
  <c r="D223" i="1"/>
  <c r="D205" i="1"/>
  <c r="D165" i="1"/>
  <c r="D125" i="1"/>
  <c r="D105" i="1"/>
  <c r="D45" i="1"/>
  <c r="C263" i="1"/>
  <c r="C145" i="1"/>
  <c r="C65" i="1"/>
  <c r="D302" i="1"/>
  <c r="D282" i="1"/>
  <c r="D262" i="1"/>
  <c r="D242" i="1"/>
  <c r="D222" i="1"/>
  <c r="D204" i="1"/>
  <c r="D184" i="1"/>
  <c r="D164" i="1"/>
  <c r="D144" i="1"/>
  <c r="D124" i="1"/>
  <c r="D104" i="1"/>
  <c r="D84" i="1"/>
  <c r="D64" i="1"/>
  <c r="D44" i="1"/>
  <c r="D24" i="1"/>
  <c r="D4" i="1"/>
  <c r="D20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THOMPSON Adam</author>
  </authors>
  <commentList>
    <comment ref="D22" authorId="0" shapeId="0" xr:uid="{22C16BCB-5FEB-4CA4-B2B2-474C7568D3D2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Lumped with Flow to avoid singleton</t>
        </r>
      </text>
    </comment>
    <comment ref="F69" authorId="0" shapeId="0" xr:uid="{EC6051F8-3E8D-4313-BA82-54F11B92287F}">
      <text>
        <r>
          <rPr>
            <b/>
            <sz val="9"/>
            <color indexed="81"/>
            <rFont val="Tahoma"/>
            <family val="2"/>
          </rPr>
          <t>THOMPSON Adam:</t>
        </r>
        <r>
          <rPr>
            <sz val="9"/>
            <color indexed="81"/>
            <rFont val="Tahoma"/>
            <family val="2"/>
          </rPr>
          <t xml:space="preserve">
No longer active, data can be found at source URL, check changelog for possible name changes or other changes to this metric.</t>
        </r>
      </text>
    </comment>
  </commentList>
</comments>
</file>

<file path=xl/sharedStrings.xml><?xml version="1.0" encoding="utf-8"?>
<sst xmlns="http://schemas.openxmlformats.org/spreadsheetml/2006/main" count="2443" uniqueCount="760">
  <si>
    <t>rowname</t>
  </si>
  <si>
    <t>colname</t>
  </si>
  <si>
    <t>cor</t>
  </si>
  <si>
    <t>ICI</t>
  </si>
  <si>
    <t>IWI</t>
  </si>
  <si>
    <t>Use?</t>
  </si>
  <si>
    <t>Category</t>
  </si>
  <si>
    <t>Subcategory_SC</t>
  </si>
  <si>
    <t>Subcategory</t>
  </si>
  <si>
    <t>Metric</t>
  </si>
  <si>
    <t>Metric_Query</t>
  </si>
  <si>
    <t>missing_from_pull</t>
  </si>
  <si>
    <t>AOI</t>
  </si>
  <si>
    <t>Year</t>
  </si>
  <si>
    <t>Short_Name</t>
  </si>
  <si>
    <t>Metric_Description</t>
  </si>
  <si>
    <t>Units</t>
  </si>
  <si>
    <t>Source</t>
  </si>
  <si>
    <t>Dataset</t>
  </si>
  <si>
    <t>y</t>
  </si>
  <si>
    <t>Anthropogenic</t>
  </si>
  <si>
    <t>Soils</t>
  </si>
  <si>
    <t>Agriculture</t>
  </si>
  <si>
    <t>agkffact[AOI]</t>
  </si>
  <si>
    <t>agkffact</t>
  </si>
  <si>
    <t>Cat, Ws</t>
  </si>
  <si>
    <t>Ag Soil Erodibility Kf Factor</t>
  </si>
  <si>
    <t>Mean of STATSGO Kffactor raster on agricultural land (NLCD 2006) within AOI. The Universal Soil Loss Equation (USLE) and represents a relative index of susceptibility of bare, cultivated soil to particle detachment and transport by rainfall</t>
  </si>
  <si>
    <t>Unitless</t>
  </si>
  <si>
    <t>Penn State Soil Info</t>
  </si>
  <si>
    <t>STATSGO Soils</t>
  </si>
  <si>
    <t>Natural</t>
  </si>
  <si>
    <t>Lithology</t>
  </si>
  <si>
    <t>al2o3[AOI]</t>
  </si>
  <si>
    <t>al2o3</t>
  </si>
  <si>
    <t>Mean Lithological Aluminum Oxide</t>
  </si>
  <si>
    <t>Mean % of lithological aluminum oxide (Al2O3) content in surface or near surface geology within AOI</t>
  </si>
  <si>
    <t>Percent</t>
  </si>
  <si>
    <t>USGS Sciencebase</t>
  </si>
  <si>
    <t>USGS Geochemistry</t>
  </si>
  <si>
    <t>n</t>
  </si>
  <si>
    <t>Base</t>
  </si>
  <si>
    <t>Area</t>
  </si>
  <si>
    <t>areasqkm[AOI]</t>
  </si>
  <si>
    <t>areasqkm</t>
  </si>
  <si>
    <t>Ws</t>
  </si>
  <si>
    <t>Watershed Area Square Kilometers</t>
  </si>
  <si>
    <t>Watershed area (square km)</t>
  </si>
  <si>
    <t>Square Kilometers</t>
  </si>
  <si>
    <t>NHDPlusV2</t>
  </si>
  <si>
    <t>All</t>
  </si>
  <si>
    <t>Other</t>
  </si>
  <si>
    <t>bankfulldepth</t>
  </si>
  <si>
    <t>Predicted Bankfull Depth</t>
  </si>
  <si>
    <t>Predicted bankfull depth: thalweg depth plus bankfull height, which is the height from the water surface to the bankfull stage</t>
  </si>
  <si>
    <t>Meters</t>
  </si>
  <si>
    <t>Doyle et al. 2023</t>
  </si>
  <si>
    <t>Predicted Channel Widths Depths</t>
  </si>
  <si>
    <t>bankfullwidth</t>
  </si>
  <si>
    <t>Predicted Bankfull Width</t>
  </si>
  <si>
    <t>Predicted bankfull width: distance from left to right bank at bankfull stage where the potential water height would spill outside of the channel and into the floodplain</t>
  </si>
  <si>
    <t>Climate</t>
  </si>
  <si>
    <t>Flow</t>
  </si>
  <si>
    <t>bfi[AOI]</t>
  </si>
  <si>
    <t>bfi</t>
  </si>
  <si>
    <t>Base Flow Index</t>
  </si>
  <si>
    <t>Base flow is the component of streamflow that can be attributed to ground-water discharge into streams. The BFI is the ratio of base flow to total flow, expressed as a percentage, within AOI</t>
  </si>
  <si>
    <t>USGS Water Mission Area</t>
  </si>
  <si>
    <t>canaldens[AOI]</t>
  </si>
  <si>
    <t>canaldens</t>
  </si>
  <si>
    <t>Canal Density</t>
  </si>
  <si>
    <t>Density of NHDPlus line features classified as canal, ditch, or pipeline within the AOI (km/ square km)</t>
  </si>
  <si>
    <t>Kilometer/Square Kilometer</t>
  </si>
  <si>
    <t>Falcone et al. 2010</t>
  </si>
  <si>
    <t>cao[AOI]</t>
  </si>
  <si>
    <t>cao</t>
  </si>
  <si>
    <t>Mean Lithological Calcium Oxide</t>
  </si>
  <si>
    <t>Mean % of lithological calcium oxide (CaO) content in surface or near surface geology within AOI</t>
  </si>
  <si>
    <t>catareasqkm[AOI]</t>
  </si>
  <si>
    <t>catareasqkm</t>
  </si>
  <si>
    <t>Cat</t>
  </si>
  <si>
    <t>Catchment Area Square Kilometers</t>
  </si>
  <si>
    <t>Area of local NHDPlus AOI (square km)</t>
  </si>
  <si>
    <t>catareasqkmrp100[AOI]</t>
  </si>
  <si>
    <t>catareasqkmrp100</t>
  </si>
  <si>
    <t>Cat, CatRp100</t>
  </si>
  <si>
    <t>AOI Area Square Kilometers Riparian 100 Meters</t>
  </si>
  <si>
    <t>Area of local NHDPlus AOIs (square km) within a 100-m buffer of NHD streams. Original NLCD 2006 water cells adjacent to NHD stream lines used to expand NHD stream lines to full water area</t>
  </si>
  <si>
    <t>Tables with Rp100 metrics</t>
  </si>
  <si>
    <t>catpctfull[AOI]</t>
  </si>
  <si>
    <t>catpctfull</t>
  </si>
  <si>
    <t>Percent Full</t>
  </si>
  <si>
    <t>Percent of the AOI that is covered by the landscape layer.</t>
  </si>
  <si>
    <t>Nutrients</t>
  </si>
  <si>
    <t>cbnf[AOI]</t>
  </si>
  <si>
    <t>cbnf</t>
  </si>
  <si>
    <t>Cultivated Biological Nitrogen Fixation Mean Rate</t>
  </si>
  <si>
    <t>Mean rate of biological nitrogen fixation from the cultivation of crops in kg N/ha/yr, within AOI</t>
  </si>
  <si>
    <t>Kilogram/Hectar/Year</t>
  </si>
  <si>
    <t>EnviroAtlas</t>
  </si>
  <si>
    <t>Agricultural Nitrogen</t>
  </si>
  <si>
    <t>chem[AOI]</t>
  </si>
  <si>
    <t>chem</t>
  </si>
  <si>
    <t>CHEM</t>
  </si>
  <si>
    <t>Revised index of regulation of water chemistry component score calculated using AOI metrics (version 2.1) based on Johnson et al. 2018 STOTEN</t>
  </si>
  <si>
    <t>Johnson et al. 2019</t>
  </si>
  <si>
    <t>Index of Watershed Integrity</t>
  </si>
  <si>
    <t>clay[AOI]</t>
  </si>
  <si>
    <t>clay</t>
  </si>
  <si>
    <t>Clay Mean</t>
  </si>
  <si>
    <t>Mean % clay content of soils (STATSGO) within AOI</t>
  </si>
  <si>
    <t>Carlisle et al. 2009</t>
  </si>
  <si>
    <t>Mining_Toxics</t>
  </si>
  <si>
    <t>coalminedens[AOI]</t>
  </si>
  <si>
    <t>coalminedens</t>
  </si>
  <si>
    <t>Coal Mine Density</t>
  </si>
  <si>
    <t>Density of coal mines sites within AOI (mines/square km)</t>
  </si>
  <si>
    <t>Count/Square Kilometer</t>
  </si>
  <si>
    <t>USGS NCRDS</t>
  </si>
  <si>
    <t>Coal Mines</t>
  </si>
  <si>
    <t>compstrgth[AOI]</t>
  </si>
  <si>
    <t>compstrgth</t>
  </si>
  <si>
    <t>Mean Lithological Compressive Strength</t>
  </si>
  <si>
    <t>Mean lithological uniaxial compressive strength (megaPascals) content in surface or near surface geology within AOI</t>
  </si>
  <si>
    <t>conn[AOI]</t>
  </si>
  <si>
    <t>conn</t>
  </si>
  <si>
    <t>CONN</t>
  </si>
  <si>
    <t>Hydrologic connectivity component score calculated using AOI metrics</t>
  </si>
  <si>
    <t>Dams</t>
  </si>
  <si>
    <t>damdens[AOI]</t>
  </si>
  <si>
    <t>damdens</t>
  </si>
  <si>
    <t>Dam Density</t>
  </si>
  <si>
    <t>Density of georeferenced dams within AOI (dams/ square km)</t>
  </si>
  <si>
    <t>USGS NAWQA</t>
  </si>
  <si>
    <t>damnidstor[AOI]</t>
  </si>
  <si>
    <t>damnidstor</t>
  </si>
  <si>
    <t>Dam Resevoir NID Volume</t>
  </si>
  <si>
    <t>Volume all reservoirs (NID_STORA in NID) per unit area of AOI (cubic meters/square km)</t>
  </si>
  <si>
    <t>Cubic Meters/Square Kilometer</t>
  </si>
  <si>
    <t>damnrmstor[AOI]</t>
  </si>
  <si>
    <t>damnrmstor</t>
  </si>
  <si>
    <t>Dam Resevoir Normal Volume</t>
  </si>
  <si>
    <t>Volume all reservoirs (NORM_STORA in NID) per unit area of AOI (cubic meters/square km)</t>
  </si>
  <si>
    <t>elev[AOI]</t>
  </si>
  <si>
    <t>elev</t>
  </si>
  <si>
    <t>Mean Elevation</t>
  </si>
  <si>
    <t>Mean AOI elevation (m)</t>
  </si>
  <si>
    <t>Elevation</t>
  </si>
  <si>
    <t>fe2o3[AOI]</t>
  </si>
  <si>
    <t>fe2o3</t>
  </si>
  <si>
    <t>Mean Lithological Ferric Oxide</t>
  </si>
  <si>
    <t>Mean % of lithological ferric oxide (Fe2O3) content in surface or near surface geology within AOI</t>
  </si>
  <si>
    <t>fert[AOI]</t>
  </si>
  <si>
    <t>fert</t>
  </si>
  <si>
    <t>Synthetic Nitrogen Fertilizer Application Mean Rate</t>
  </si>
  <si>
    <t>Mean rate of synthetic nitrogen fertilizer application to agricultural land in kg N/ha/yr, within the AOI</t>
  </si>
  <si>
    <t>habt[AOI]</t>
  </si>
  <si>
    <t>habt</t>
  </si>
  <si>
    <t>HABT</t>
  </si>
  <si>
    <t>Habitat provision component score calculated using AOI metrics</t>
  </si>
  <si>
    <t>Urban</t>
  </si>
  <si>
    <t>huden[Year][AOI]</t>
  </si>
  <si>
    <t>huden2010</t>
  </si>
  <si>
    <t>Cat, Ws, CatRp100, WsRp100</t>
  </si>
  <si>
    <t>2010</t>
  </si>
  <si>
    <t>Mean Housing Density</t>
  </si>
  <si>
    <t>Mean housing unit density (housing units/square km) within AOI.</t>
  </si>
  <si>
    <t>US Census</t>
  </si>
  <si>
    <t>Census</t>
  </si>
  <si>
    <t>hyd[AOI]</t>
  </si>
  <si>
    <t>hyd</t>
  </si>
  <si>
    <t>nan</t>
  </si>
  <si>
    <t>Hydrologic regulation component score calculated using AOI metrics</t>
  </si>
  <si>
    <t>Johson et al. 2019</t>
  </si>
  <si>
    <t>hydrlcond[AOI]</t>
  </si>
  <si>
    <t>hydrlcond</t>
  </si>
  <si>
    <t>Mean Hydraulic Conductivity</t>
  </si>
  <si>
    <t>Mean lithological hydraulic conductivity (micrometers per second) content in surface or near surface geology within AOI</t>
  </si>
  <si>
    <t>ici[AOI]</t>
  </si>
  <si>
    <t>ici</t>
  </si>
  <si>
    <t>Revised Index of catchment integrity (version 2.1) based on Johnson et al. 2018 STOTEN</t>
  </si>
  <si>
    <t>Deposition</t>
  </si>
  <si>
    <t>inorgnwetdep[Year][AOI]</t>
  </si>
  <si>
    <t>inorgnwetdep2008</t>
  </si>
  <si>
    <t>2008</t>
  </si>
  <si>
    <t>Mean Annual Precipitation-Weighted Nitrogen</t>
  </si>
  <si>
    <t>Annual gradient map of precipitation-weighted mean deposition for inorganic nitrogen wet deposition from nitrate and ammonium for 2008 in kg of N/ha/yr, within AOI</t>
  </si>
  <si>
    <t>Kilogram/Hectare/Year</t>
  </si>
  <si>
    <t>NADP</t>
  </si>
  <si>
    <t>instream</t>
  </si>
  <si>
    <t>1 = on-network lake and data were taken from StreamCat; 0 = off-network lake and custom AOIs  was needed to generate LakeCat data</t>
  </si>
  <si>
    <t>Binary</t>
  </si>
  <si>
    <t>iwi[AOI]</t>
  </si>
  <si>
    <t>iwi</t>
  </si>
  <si>
    <t>k2o[AOI]</t>
  </si>
  <si>
    <t>k2o</t>
  </si>
  <si>
    <t>InorgNWetDep</t>
  </si>
  <si>
    <t>Mean % of lithological potassium oxide (K2O) content in surface or near surface geology within AOI</t>
  </si>
  <si>
    <t>kffact[AOI]</t>
  </si>
  <si>
    <t>kffact</t>
  </si>
  <si>
    <t>Mean Soil Erodibility KF Factor</t>
  </si>
  <si>
    <t>Mean of STATSGO Kffactor raster within AOI. The Universal Soil Loss Equation (USLE) and represents a relative index of susceptibility of bare, cultivated soil to particle detachment and transport by rainfall</t>
  </si>
  <si>
    <t>manure[AOI]</t>
  </si>
  <si>
    <t>manure</t>
  </si>
  <si>
    <t>Mean Manure Application Rate</t>
  </si>
  <si>
    <t>Mean rate of manure application to agricultural land from confined animal feeding operations in kg N/ha/yr, within AOI</t>
  </si>
  <si>
    <t>mast[Year]</t>
  </si>
  <si>
    <t>mast2008</t>
  </si>
  <si>
    <t>2008, 2009, 2013, 2014</t>
  </si>
  <si>
    <t>Mean Annual Stream Temp</t>
  </si>
  <si>
    <t>Predicted mean annual stream temperature (Jan-Dec) for year 2008, 2009, 2013, 2014</t>
  </si>
  <si>
    <t>Celsius</t>
  </si>
  <si>
    <t>Hill et al. 2013</t>
  </si>
  <si>
    <t>Predicted Reference Stream Temperature</t>
  </si>
  <si>
    <t>mgo[AOI]</t>
  </si>
  <si>
    <t>mgo</t>
  </si>
  <si>
    <t>Mean Lithological Magnesium Oxide</t>
  </si>
  <si>
    <t>Mean % of lithological magnesium oxide (MgO) content in surface or near surface geology within AOI</t>
  </si>
  <si>
    <t>minedens[AOI]</t>
  </si>
  <si>
    <t>minedens</t>
  </si>
  <si>
    <t>Mine Density</t>
  </si>
  <si>
    <t>Density of mines sites within AOI (mines/square km)</t>
  </si>
  <si>
    <t>USGS</t>
  </si>
  <si>
    <t>Mines</t>
  </si>
  <si>
    <t>msst[Year]</t>
  </si>
  <si>
    <t>msst2008</t>
  </si>
  <si>
    <t>Mean Summer Stream Temp</t>
  </si>
  <si>
    <t>Predicted mean summer stream temperature (July-Aug) for years 2008, 2009, 2013, 2014</t>
  </si>
  <si>
    <t>mwst[Year]</t>
  </si>
  <si>
    <t>mwst2008</t>
  </si>
  <si>
    <t>Mean Winter Stream Temp</t>
  </si>
  <si>
    <t>Predicted mean winter stream temperature (Jan-Feb) for year 2008, 2009, 2013, 2014</t>
  </si>
  <si>
    <t>n[AOI]</t>
  </si>
  <si>
    <t>Mean Lithological Nitrogen</t>
  </si>
  <si>
    <t>Mean % of lithological nitrogen (N) content in surface or near surface geology within AOI</t>
  </si>
  <si>
    <t>na2o[AOI]</t>
  </si>
  <si>
    <t>na2o</t>
  </si>
  <si>
    <t>Mean Lithological Sodium Oxide</t>
  </si>
  <si>
    <t>Mean % of lithological sodium oxide (Na2O) content in surface or near surface geology within AOI</t>
  </si>
  <si>
    <t>NABD_Dens[AOI]</t>
  </si>
  <si>
    <t>NABD_Dens</t>
  </si>
  <si>
    <t>NABD Dam Density</t>
  </si>
  <si>
    <t>NABD_NIDStor[AOI]</t>
  </si>
  <si>
    <t>NABD_NIDStor</t>
  </si>
  <si>
    <t>NABD NID Reservoir Volume</t>
  </si>
  <si>
    <t>NABD_NrmStor[AOI]</t>
  </si>
  <si>
    <t>NABD_NrmStor</t>
  </si>
  <si>
    <t>NABD Normal Reservoir Volume</t>
  </si>
  <si>
    <t>nani[AOI]</t>
  </si>
  <si>
    <t>nani</t>
  </si>
  <si>
    <t>Anthropogenic Nitrogen</t>
  </si>
  <si>
    <t>Net Anthropogenic Nitrogen within AOI: farm fertilizer + urban fertilizer + NOx deposition + CBNF + Human and Livestock food - crop N content - livestock N content</t>
  </si>
  <si>
    <t>Pennino et al. 2020</t>
  </si>
  <si>
    <t>NSURP NANI</t>
  </si>
  <si>
    <t>nh4[Year][AOI]</t>
  </si>
  <si>
    <t>nh42008</t>
  </si>
  <si>
    <t>Mean annual Precipitation-Weighted NH4 Mean</t>
  </si>
  <si>
    <t>Annual gradient map of precipitation-weighted mean deposition for ammonium ion concentration wet deposition for 2008 in kg of NH4/ha/yr, within AOI</t>
  </si>
  <si>
    <t>no3[Year][AOI]</t>
  </si>
  <si>
    <t>no32008</t>
  </si>
  <si>
    <t>Mean Annual Precipitation-Weighted NO3 Mean</t>
  </si>
  <si>
    <t>Annual gradient map of precipitation-weighted mean deposition for nitrate ion concentration wet deposition for 2008 in kg of NO3/ha/yr, within AOI</t>
  </si>
  <si>
    <t>npdesdens[AOI]</t>
  </si>
  <si>
    <t>npdesdens</t>
  </si>
  <si>
    <t>NPDES Site Density</t>
  </si>
  <si>
    <t>Density of permitted NPDES (National Pollutant Discharge Elimination System) sites within AOI (sites/square km)</t>
  </si>
  <si>
    <t>EPA FRS</t>
  </si>
  <si>
    <t>nsurp[AOI]</t>
  </si>
  <si>
    <t>nsurp</t>
  </si>
  <si>
    <t>Nitrogen Surplus</t>
  </si>
  <si>
    <t>Nitrogen Surplus (kg N / yr) per AOI - excluding biological N Fixation</t>
  </si>
  <si>
    <t>om[AOI]</t>
  </si>
  <si>
    <t>om</t>
  </si>
  <si>
    <t>Organic Matter Mean</t>
  </si>
  <si>
    <t>Mean organic matter content (% by weight) of soils (STATSGO) within AOI</t>
  </si>
  <si>
    <t>p2o5[AOI]</t>
  </si>
  <si>
    <t>p2o5</t>
  </si>
  <si>
    <t>Mean Lithological Phosphorous Oxide</t>
  </si>
  <si>
    <t>Mean % of lithological phosphorous oxide (P2O5) content in surface or near surface geology within AOI</t>
  </si>
  <si>
    <t>pctagdrainage[AOI]</t>
  </si>
  <si>
    <t>pctagdrainage</t>
  </si>
  <si>
    <t>Agricultural Drainage</t>
  </si>
  <si>
    <t>This dataset represents % of land with agricultural drainage, described in DOI: 10.1016/j.scitotenv.2020.137661, within individual, local NHDPlusV2 catchments and upstream, contributing watersheds.</t>
  </si>
  <si>
    <t>Ag Tiling</t>
  </si>
  <si>
    <t>pctagslphigh[Year][AOI]</t>
  </si>
  <si>
    <t>pctagslphigh2001</t>
  </si>
  <si>
    <t>2001, 2004, 2006, 2008, 2011, 2013, 2016, 2019</t>
  </si>
  <si>
    <t>Percent of Agriculture of 20% Slope</t>
  </si>
  <si>
    <t>% of AOI area classified as ag land cover (NLCD classes 81-82) occurring on slopes &gt; 20%</t>
  </si>
  <si>
    <t>NLCD</t>
  </si>
  <si>
    <t>Ag On Slopes</t>
  </si>
  <si>
    <t>pctagslpmid[Year][AOI]</t>
  </si>
  <si>
    <t>pctagslpmid2001</t>
  </si>
  <si>
    <t>Percent of Agriculture of 10% Slope</t>
  </si>
  <si>
    <t>% of AOI area classified as ag land cover (NLCD classes 81-82) occurring on slopes &gt; 10%</t>
  </si>
  <si>
    <t>pctalkintruvol[AOI]</t>
  </si>
  <si>
    <t>pctalkintruvol</t>
  </si>
  <si>
    <t>Alkaline Intrusive Volcanic Rock</t>
  </si>
  <si>
    <t>% of AOI area classified as lithology type: alkaline intrusive volcanic rock</t>
  </si>
  <si>
    <t>pctalluvcoast[AOI]</t>
  </si>
  <si>
    <t>pctalluvcoast</t>
  </si>
  <si>
    <t>Alluvium &amp; Fine-Textured Coastal Zone Sediment</t>
  </si>
  <si>
    <t>% of AOI area classified as lithology type: alluvium and fine-textured coastal zone sediment</t>
  </si>
  <si>
    <t>Land Cover</t>
  </si>
  <si>
    <t>pctbl[Year][AOI]</t>
  </si>
  <si>
    <t>pctbl2001</t>
  </si>
  <si>
    <t>Bedrock and Similar Earthen Material Percentage</t>
  </si>
  <si>
    <t>% of AOI area classified as barren land cover (NLCD class 31)</t>
  </si>
  <si>
    <t>Wildfire</t>
  </si>
  <si>
    <t>pctburnarea[Year][AOI]</t>
  </si>
  <si>
    <t>pctburnarea2002</t>
  </si>
  <si>
    <t>1984-2018</t>
  </si>
  <si>
    <t>Wildfire Burn Percent 1984-2018</t>
  </si>
  <si>
    <t>Mean % of AOI burned from wildfires for each year for 1984-2018</t>
  </si>
  <si>
    <t>MTBS</t>
  </si>
  <si>
    <t>pctcarbresid[AOI]</t>
  </si>
  <si>
    <t>pctcarbresid</t>
  </si>
  <si>
    <t>Carbonate Residual Material</t>
  </si>
  <si>
    <t>% of AOI area classified as lithology type: carbonate residual material</t>
  </si>
  <si>
    <t>pctcoastcrs[AOI]</t>
  </si>
  <si>
    <t>pctcoastcrs</t>
  </si>
  <si>
    <t>Coastal Zone Sediment, Coarse-Textured</t>
  </si>
  <si>
    <t>% of AOI area classified as lithology type: coastal zone sediment, coarse-textured</t>
  </si>
  <si>
    <t>pctcolluvsed[AOI]</t>
  </si>
  <si>
    <t>pctcolluvsed</t>
  </si>
  <si>
    <t>Colluvial Sediment</t>
  </si>
  <si>
    <t>% of AOI area classified as lithology type: colluvial sediment</t>
  </si>
  <si>
    <t>pctconif[Year][AOI]</t>
  </si>
  <si>
    <t>pctconif2001</t>
  </si>
  <si>
    <t>Evergreen Forest Percentage</t>
  </si>
  <si>
    <t>% of AOI area classified as evergreen forest land cover (NLCD class 42)</t>
  </si>
  <si>
    <t>pctcrop[Year][AOI]</t>
  </si>
  <si>
    <t>pctcrop2001</t>
  </si>
  <si>
    <t>Row Crop Percentage</t>
  </si>
  <si>
    <t>% of AOI area classified as crop land use (NLCD class 82)</t>
  </si>
  <si>
    <t>pctdecid[Year][AOI]</t>
  </si>
  <si>
    <t>pctdecid2001</t>
  </si>
  <si>
    <t>Deciduous Forest Percentage</t>
  </si>
  <si>
    <t>% of AOI area classified as deciduous forest land cover (NLCD class 41)</t>
  </si>
  <si>
    <t>pcteolcrs[AOI]</t>
  </si>
  <si>
    <t>pcteolcrs</t>
  </si>
  <si>
    <t>Eolian Sediment, Coarse-Textured</t>
  </si>
  <si>
    <t>% of AOI area classified as lithology type: eolian sediment, coarse-textured (sand dunes)</t>
  </si>
  <si>
    <t>pcteolfine[AOI]</t>
  </si>
  <si>
    <t>pcteolfine</t>
  </si>
  <si>
    <t>Eolian Sediment, Fine-Textured</t>
  </si>
  <si>
    <t>% of AOI area classified as lithology type: eolian sediment, fine-textured (glacial loess)</t>
  </si>
  <si>
    <t>pctextruvol[AOI]</t>
  </si>
  <si>
    <t>pctextruvol</t>
  </si>
  <si>
    <t>Extrusive Volcanic Rock</t>
  </si>
  <si>
    <t>% of AOI area classified as lithology type: extrusive volcanic rock</t>
  </si>
  <si>
    <t>pctfire[Year][AOI]</t>
  </si>
  <si>
    <t>pctfire2002</t>
  </si>
  <si>
    <t>2001, 2002, 2003, 2004, 2005, 2006, 2007, 2008, 2009, 2010</t>
  </si>
  <si>
    <t>Forest Fire Loss</t>
  </si>
  <si>
    <t>% Forest loss to fire (fire perimeter) within AOI</t>
  </si>
  <si>
    <t>pctfrstloss[Year][AOI]</t>
  </si>
  <si>
    <t>pctfrstloss2002</t>
  </si>
  <si>
    <t>2001, 2002, 2003, 2004, 2005, 2006, 2007, 2008, 2009, 2010, 2011, 2012, 2013</t>
  </si>
  <si>
    <t>Forest Loss</t>
  </si>
  <si>
    <t>% Forest cover loss (Tree canopy cover change) within AOI</t>
  </si>
  <si>
    <t>University of Maryland</t>
  </si>
  <si>
    <t>Forest Loss By Year</t>
  </si>
  <si>
    <t>pctglaclakecrs[AOI]</t>
  </si>
  <si>
    <t>pctglaclakecrs</t>
  </si>
  <si>
    <t>Glacial Outwash and Glacial Lake Sediment</t>
  </si>
  <si>
    <t>% of AOI area classified as lithology type: glacial outwash and glacial lake sediment, coarse-textured</t>
  </si>
  <si>
    <t>pctglaclakefine[AOI]</t>
  </si>
  <si>
    <t>pctglaclakefine</t>
  </si>
  <si>
    <t>Glacial Outwash and Glacial Lake</t>
  </si>
  <si>
    <t>% of AOI area classified as lithology type: glacial lake sediment, fine-textured</t>
  </si>
  <si>
    <t>pctglactilclay[AOI]</t>
  </si>
  <si>
    <t>pctglactilclay</t>
  </si>
  <si>
    <t>Glacial Till, Clayey</t>
  </si>
  <si>
    <t>% of AOI area classified as lithology type: glacial till, clayey</t>
  </si>
  <si>
    <t>pctglactilcrs[AOI]</t>
  </si>
  <si>
    <t>pctglactilcrs</t>
  </si>
  <si>
    <t>Glacial Till, Coarse-Textured</t>
  </si>
  <si>
    <t>% of AOI area classified as lithology type: glacial till, coarse-textured</t>
  </si>
  <si>
    <t>pctglactilloam[AOI]</t>
  </si>
  <si>
    <t>pctglactilloam</t>
  </si>
  <si>
    <t>Glacial Till, Loamy</t>
  </si>
  <si>
    <t>% of AOI area classified as lithology type: glacial till, loamy</t>
  </si>
  <si>
    <t>pctgrs[Year][AOI]</t>
  </si>
  <si>
    <t>pctgrs2001</t>
  </si>
  <si>
    <t>Grassland/Herbaceous Percentage</t>
  </si>
  <si>
    <t>% of AOI area classified as grassland/herbaceous land cover (NLCD class 71)</t>
  </si>
  <si>
    <t>pcthay[Year][AOI]</t>
  </si>
  <si>
    <t>pcthay2001</t>
  </si>
  <si>
    <t>Pasture/Hay Percentage</t>
  </si>
  <si>
    <t>% of AOI area classified as hay land use (NLCD class 81)</t>
  </si>
  <si>
    <t>pcthbwet[Year][AOI]</t>
  </si>
  <si>
    <t>pcthbwet2001</t>
  </si>
  <si>
    <t>Herbaceous Wetland Percentage</t>
  </si>
  <si>
    <t>% of AOI area classified as herbaceous wetland land cover (NLCD class 95)</t>
  </si>
  <si>
    <t>pcthighsev[Year][AOI]</t>
  </si>
  <si>
    <t>pcthighsev2002</t>
  </si>
  <si>
    <t>Percent High Burn Severity Class For Year</t>
  </si>
  <si>
    <t>% of AOI in each burn severity class for wildfires for each year for 1984-2018</t>
  </si>
  <si>
    <t>pcthydric[AOI]</t>
  </si>
  <si>
    <t>pcthydric</t>
  </si>
  <si>
    <t>Hydric, Peat &amp; Muck</t>
  </si>
  <si>
    <t>% of AOI area classified as lithology type: hydric, peat and muck</t>
  </si>
  <si>
    <t>pctice[Year][AOI]</t>
  </si>
  <si>
    <t>pctice2001</t>
  </si>
  <si>
    <t>Ice/Snow Cover Percentage</t>
  </si>
  <si>
    <t>% of AOI area classified as ice/snow land cover (NLCD class 12)</t>
  </si>
  <si>
    <t>pctimp[Year][AOI]</t>
  </si>
  <si>
    <t>pctimp2001</t>
  </si>
  <si>
    <t>Mean Imperviousness</t>
  </si>
  <si>
    <t>Mean imperviousness of anthropogenic surfaces within AOI  (NLCD)</t>
  </si>
  <si>
    <t>Impervious Surfaces</t>
  </si>
  <si>
    <t>pctimpslphigh[Year][AOI]</t>
  </si>
  <si>
    <t>pctimpslphigh2001</t>
  </si>
  <si>
    <t>Percent Imperviousness on 20% Slope</t>
  </si>
  <si>
    <t>Percent of AOI area classified as impervious occuring on slpes &gt; 20%</t>
  </si>
  <si>
    <t>pctimpslpmid[Year][AOI]</t>
  </si>
  <si>
    <t>pctimpslpmid2001</t>
  </si>
  <si>
    <t>Percent Imperviousness on 10% Slope</t>
  </si>
  <si>
    <t>Percent of AOI area classified as impervious occuring on slpes &gt; 10%</t>
  </si>
  <si>
    <t>pctincvegresp[Year][AOI]</t>
  </si>
  <si>
    <t>pctincvegresp2002</t>
  </si>
  <si>
    <t>Percent Increased Greenness and Veg Response Class For Year</t>
  </si>
  <si>
    <t>pctlowsev[Year][AOI]</t>
  </si>
  <si>
    <t>pctlowsev2002</t>
  </si>
  <si>
    <t>Percent Low Burn Severity Class For Year</t>
  </si>
  <si>
    <t>pctmodsev[Year][AOI]</t>
  </si>
  <si>
    <t>pctmodsev2002</t>
  </si>
  <si>
    <t>Percent Moderate Burn Severity Class For Year</t>
  </si>
  <si>
    <t>pctmxfst[Year][AOI]</t>
  </si>
  <si>
    <t>pctmxfst2001</t>
  </si>
  <si>
    <t>Mixed Deciduous/Evergreen Forest Percentage</t>
  </si>
  <si>
    <t>% of AOI area classified as mixed deciduous/evergreen forest land cover (NLCD class 43)</t>
  </si>
  <si>
    <t>pctnonagintrodmanagveg[AOI]</t>
  </si>
  <si>
    <t>pctnonagintrodmanagveg</t>
  </si>
  <si>
    <t>Nonnative Vegetation Landcover</t>
  </si>
  <si>
    <t>% Nonagriculture nonnative introduced or managed vegetation landcover type reclassed from LANDFIRE Existing Vegetation Type (EVT), within AOI</t>
  </si>
  <si>
    <t>Landfire</t>
  </si>
  <si>
    <t>NonAgIntrodManagVeg</t>
  </si>
  <si>
    <t>pctnoncarbresid[AOI]</t>
  </si>
  <si>
    <t>pctnoncarbresid</t>
  </si>
  <si>
    <t>Non-Carbonate Residual Material</t>
  </si>
  <si>
    <t>% of AOI area classified as lithology type: non-carbonate residual material</t>
  </si>
  <si>
    <t>pctnonprocmask[Year][AOI]</t>
  </si>
  <si>
    <t>pctnonprocmask2002</t>
  </si>
  <si>
    <t>Percent Non Processing Mask Class For Year</t>
  </si>
  <si>
    <t>pctow[Year][AOI]</t>
  </si>
  <si>
    <t>pctow2001</t>
  </si>
  <si>
    <t>Open Water Percentage</t>
  </si>
  <si>
    <t>% of AOI area classified as open water land cover (NLCD class 11)</t>
  </si>
  <si>
    <t>pctsallake[AOI]</t>
  </si>
  <si>
    <t>pctsallake</t>
  </si>
  <si>
    <t>Saline Lake Sediment</t>
  </si>
  <si>
    <t>% of AOI area classified as lithology type: saline like sediment</t>
  </si>
  <si>
    <t>pctshrb[Year][AOI]</t>
  </si>
  <si>
    <t>pctshrb2001</t>
  </si>
  <si>
    <t>Shrub/Scrub Percentage</t>
  </si>
  <si>
    <t>% of AOI area classified as shrub/scrub land cover (NLCD class 52)</t>
  </si>
  <si>
    <t>pctsilicic[AOI]</t>
  </si>
  <si>
    <t>pctsilicic</t>
  </si>
  <si>
    <t>Silicic Residual Material</t>
  </si>
  <si>
    <t>% of AOI area classified as lithology type: silicic residual material</t>
  </si>
  <si>
    <t>pctundsev[Year][AOI]</t>
  </si>
  <si>
    <t>pctundsev2002</t>
  </si>
  <si>
    <t>Percent Underburned to Low Burn Severity Class For Year</t>
  </si>
  <si>
    <t>pcturbhi[Year][AOI]</t>
  </si>
  <si>
    <t>pcturbhi2001</t>
  </si>
  <si>
    <t>Developed, High Intensity Land Use Percentage</t>
  </si>
  <si>
    <t>% of AOI area classified as developed, high-intensity land use (NLCD class 24)</t>
  </si>
  <si>
    <t>pcturblo[Year][AOI]</t>
  </si>
  <si>
    <t>pcturblo2001</t>
  </si>
  <si>
    <t>Developed, Low Intensity Land Use Percentage</t>
  </si>
  <si>
    <t>% of AOI area classified as developed, low-intensity land use (NLCD class 22)</t>
  </si>
  <si>
    <t>pcturbmd[Year][AOI]</t>
  </si>
  <si>
    <t>pcturbmd2001</t>
  </si>
  <si>
    <t>Developed, Medium Intensity Land Use Percentage</t>
  </si>
  <si>
    <t>% of AOI area classified as developed, medium-intensity land use (NLCD class 23)</t>
  </si>
  <si>
    <t>pcturbop[Year][AOI]</t>
  </si>
  <si>
    <t>pcturbop2001</t>
  </si>
  <si>
    <t>Developed, Open Space Land Use Percentage</t>
  </si>
  <si>
    <t>% of AOI area classified as developed, open space land use (NLCD class 21)</t>
  </si>
  <si>
    <t>pctwater[AOI]</t>
  </si>
  <si>
    <t>pctwater</t>
  </si>
  <si>
    <t>Water</t>
  </si>
  <si>
    <t>% of AOI area classified as lithology type: water</t>
  </si>
  <si>
    <t>pctwdwet[Year][AOI]</t>
  </si>
  <si>
    <t>pctwdwet2001</t>
  </si>
  <si>
    <t>Woody Wetland Percentage</t>
  </si>
  <si>
    <t>% of AOI area classified as woody wetland land cover (NLCD class 90)</t>
  </si>
  <si>
    <t>perm[AOI]</t>
  </si>
  <si>
    <t>perm</t>
  </si>
  <si>
    <t>Mean Permeability</t>
  </si>
  <si>
    <t>Mean permeability (cm/hour) of soils (STATSGO) within AOI</t>
  </si>
  <si>
    <t>pestic[Year][AOI]</t>
  </si>
  <si>
    <t>pestic1997</t>
  </si>
  <si>
    <t>1997</t>
  </si>
  <si>
    <t>Mean Pesticide Use</t>
  </si>
  <si>
    <t>Mean pesticide use (kg/km2) in yr. 1997 within AOI</t>
  </si>
  <si>
    <t>Kilogram/Square Kilometer</t>
  </si>
  <si>
    <t>Pesticides</t>
  </si>
  <si>
    <t>popden[Year][AOI]</t>
  </si>
  <si>
    <t>popden2010</t>
  </si>
  <si>
    <t>Mean Population Density</t>
  </si>
  <si>
    <t>Mean populating density (people/square km) within AOI</t>
  </si>
  <si>
    <t>Number People / Square Kilometer</t>
  </si>
  <si>
    <t>precip[Year][AOI]</t>
  </si>
  <si>
    <t>precip2008</t>
  </si>
  <si>
    <t>2008, 2009</t>
  </si>
  <si>
    <t>Mean Precipitation</t>
  </si>
  <si>
    <t>PRISM climate data - 30-year normal mean precipitation (mm): Annual period: 2008 and 2009 within the AOI</t>
  </si>
  <si>
    <t>Millimeters</t>
  </si>
  <si>
    <t>PRISM</t>
  </si>
  <si>
    <t>Precip_Minus_EVT[AOI]</t>
  </si>
  <si>
    <t>Precip_Minus_EVT</t>
  </si>
  <si>
    <t>Y</t>
  </si>
  <si>
    <t>Surplus Precipitation</t>
  </si>
  <si>
    <t>This dataset represents surplus precipitation (mm): precipitation minus potential evaporation described in DOI: 10.1016/j.scitotenv.2020.137661 within individual,  local NHDPlusV2 catchments and upstream, contributing watersheds.</t>
  </si>
  <si>
    <t>precip8110[AOI]</t>
  </si>
  <si>
    <t>precip8110</t>
  </si>
  <si>
    <t>30-year Mean Annual Precipitation</t>
  </si>
  <si>
    <t>PRISM climate data - 30-year normal mean precipitation (mm): Annual period: 1981-2010 within AOI</t>
  </si>
  <si>
    <t>precip9120[AOI]</t>
  </si>
  <si>
    <t>precip9120</t>
  </si>
  <si>
    <t>1991-2020</t>
  </si>
  <si>
    <t>PRISM climate data - 30-year normal mean precipitation (mm): Annual period: 1991-2020 within the AOI</t>
  </si>
  <si>
    <t>prg_bmmi0809</t>
  </si>
  <si>
    <t>NRSA BMMI Good Biological Condition</t>
  </si>
  <si>
    <t>Predicted probability that a stream segment is in good biological condition based on a random forest model of the NRSA benthic invertebrate multimetric index (BMMI)</t>
  </si>
  <si>
    <t>Hill et al. 2017</t>
  </si>
  <si>
    <t>NRSA Predicted Bio Condition</t>
  </si>
  <si>
    <t>Rckdep[AOI]</t>
  </si>
  <si>
    <t>Rckdep</t>
  </si>
  <si>
    <t>only one pulling</t>
  </si>
  <si>
    <t>Mean Bedrock Depth</t>
  </si>
  <si>
    <t>Mean depth (cm) to bedrock of soils (STATSGO) within AOI</t>
  </si>
  <si>
    <t>Centimeters</t>
  </si>
  <si>
    <t>STATSGO_Set2</t>
  </si>
  <si>
    <t>rckdep[AOI]</t>
  </si>
  <si>
    <t>rckdep</t>
  </si>
  <si>
    <t>Mean depth (cm) to bedrock of soils (STATSGO) within AOI.</t>
  </si>
  <si>
    <t>Roads</t>
  </si>
  <si>
    <t>rdcrs[AOI]</t>
  </si>
  <si>
    <t>rdcrs</t>
  </si>
  <si>
    <t>Road and Stream Intersection Density</t>
  </si>
  <si>
    <t>Density of roads-stream intersections (2010 Census Tiger Lines-NHD stream lines) within AOI (crossings/square km)</t>
  </si>
  <si>
    <t>Carlisle et al. 2019</t>
  </si>
  <si>
    <t>Road Stream Crossings</t>
  </si>
  <si>
    <t>rdcrsslpwtd[AOI]</t>
  </si>
  <si>
    <t>rdcrsslpwtd</t>
  </si>
  <si>
    <t>Road and Stream Intersection x NHD Slope</t>
  </si>
  <si>
    <t>Density of roads-stream intersections (2010 Census Tiger Lines-NHD stream lines) multiplied by NHDPlusV21 slope within AOI (crossings*slope/square km)</t>
  </si>
  <si>
    <t>Weighted Count/Square Kilometer</t>
  </si>
  <si>
    <t>rddens[Year][AOI]</t>
  </si>
  <si>
    <t>rddens</t>
  </si>
  <si>
    <t>Mean Road Density</t>
  </si>
  <si>
    <t>Density of roads (2010 Census Tiger Lines) within AOI (km/square km)</t>
  </si>
  <si>
    <t>Road Density</t>
  </si>
  <si>
    <t>rockn[AOI]</t>
  </si>
  <si>
    <t>rockn</t>
  </si>
  <si>
    <t>Nitrogen From Rock Weathering</t>
  </si>
  <si>
    <t>N from rock weathering (kg/ km2) within AOI</t>
  </si>
  <si>
    <t>Rock Weathering Nitrogen</t>
  </si>
  <si>
    <t>runoff[AOI]</t>
  </si>
  <si>
    <t>runoff</t>
  </si>
  <si>
    <t>Mean Runoff</t>
  </si>
  <si>
    <t>Mean runoff (mm) within AOI</t>
  </si>
  <si>
    <t>McCabe GJ &amp; Wolock DM (2011)</t>
  </si>
  <si>
    <t>Runoff</t>
  </si>
  <si>
    <t>s[AOI]</t>
  </si>
  <si>
    <t>s</t>
  </si>
  <si>
    <t>Mean Lithological Sulfur</t>
  </si>
  <si>
    <t>Mean % of lithological sulfur (S) content in surface or near surface geology within AOI</t>
  </si>
  <si>
    <t>sand[AOI]</t>
  </si>
  <si>
    <t>sand</t>
  </si>
  <si>
    <t>Mean Sand Content</t>
  </si>
  <si>
    <t>Mean % sand content of soils (STATSGO) within AOI</t>
  </si>
  <si>
    <t>sed[AOI]</t>
  </si>
  <si>
    <t>sed</t>
  </si>
  <si>
    <t>SED</t>
  </si>
  <si>
    <t>Sediment regulation component score calculated using AOI metrics</t>
  </si>
  <si>
    <t>septic[AOI]</t>
  </si>
  <si>
    <t>septic</t>
  </si>
  <si>
    <t>Septic System Density</t>
  </si>
  <si>
    <t>Density of septic systems per AOI - based on 1990 Census</t>
  </si>
  <si>
    <t>Septic</t>
  </si>
  <si>
    <t>sio2[AOI]</t>
  </si>
  <si>
    <t>sio2</t>
  </si>
  <si>
    <t>Mean Lithological Silicon Dioxide</t>
  </si>
  <si>
    <t>Mean % of lithological silicon dioxide (SiO2) content in surface or near surface geology within AOI</t>
  </si>
  <si>
    <t>sn[Year][AOI]</t>
  </si>
  <si>
    <t>sn2008</t>
  </si>
  <si>
    <t>Annual Mean Sulfur and Nitrogen Wet Deposition</t>
  </si>
  <si>
    <t>Annual gradient map of precipitation-weighted mean deposition for average sulfur &amp; nitrogen wet deposition for 2008 in kg of S+N/ha/yr, within AOI</t>
  </si>
  <si>
    <t>superfunddens[AOI]</t>
  </si>
  <si>
    <t>superfunddens</t>
  </si>
  <si>
    <t>Superfund Site Density</t>
  </si>
  <si>
    <t>Density of Superfund sites within AOI (sites/square km)</t>
  </si>
  <si>
    <t>sw_flux[AOI]</t>
  </si>
  <si>
    <t>sw_flux</t>
  </si>
  <si>
    <t>Surface Water Nitrogen Flux</t>
  </si>
  <si>
    <t>Estimated surface water TN flux (kg N / km2) within AOI</t>
  </si>
  <si>
    <t>temp[AOI]</t>
  </si>
  <si>
    <t>temp</t>
  </si>
  <si>
    <t>TEMP</t>
  </si>
  <si>
    <t>Temperature regulation component score calculated using AOI metrics</t>
  </si>
  <si>
    <t>thalwagdepth</t>
  </si>
  <si>
    <t>Predicted Thalweg Depth</t>
  </si>
  <si>
    <t>Predicted thalweg depth: deepest point in the channel cross section from the bottom substrate to the water surface</t>
  </si>
  <si>
    <t>Predicted Channel Widths and Depths</t>
  </si>
  <si>
    <t>tmax8110[AOI]</t>
  </si>
  <si>
    <t>tmax8110</t>
  </si>
  <si>
    <t>1981-2010</t>
  </si>
  <si>
    <t>30-year Average Annual Normal Maximum Air Temperature</t>
  </si>
  <si>
    <t>PRISM climate data - 30-year normal maximum temperature (CÂ°): Annual period: 1981-2010 within the AOI</t>
  </si>
  <si>
    <t>tmax9120[AOI]</t>
  </si>
  <si>
    <t>tmax9120</t>
  </si>
  <si>
    <t>PRISM climate data - 30-year normal maximum temperature (CÂ°): Annual period: 1991-2020 within the AOI</t>
  </si>
  <si>
    <t>tmean[Year][AOI]</t>
  </si>
  <si>
    <t>tmean2008</t>
  </si>
  <si>
    <t>Mean Air Temperature</t>
  </si>
  <si>
    <t>PRISM climate data - Mean temperature (°C) within the AOI. Period: 2008 and 2009</t>
  </si>
  <si>
    <t>tmean8110[AOI]</t>
  </si>
  <si>
    <t>tmean8110</t>
  </si>
  <si>
    <t>30-year Mean Annual Air Temperature</t>
  </si>
  <si>
    <t>PRISM climate data - 30-year normal mean temperature (CÂ°): Annual period: 1981-2010 within the AOI</t>
  </si>
  <si>
    <t>tmean9120[AOI]</t>
  </si>
  <si>
    <t>tmean9120</t>
  </si>
  <si>
    <t>PRISM climate data - 30-year normal mean temperature (CÂ°): Annual period: 1991-2020 within the AOI</t>
  </si>
  <si>
    <t>tmin8110[AOI]</t>
  </si>
  <si>
    <t>tmin8110</t>
  </si>
  <si>
    <t>30-year Average Annual Normal Minimum Air Temperature</t>
  </si>
  <si>
    <t>PRISM climate data - 30-year normal minimum temperature (CÂ°): Annual period: 1981-2010 within the AOI</t>
  </si>
  <si>
    <t>tmin9120[AOI]</t>
  </si>
  <si>
    <t>tmin9120</t>
  </si>
  <si>
    <t>PRISM climate data - 30-year normal minimum temperature (CÂ°): Annual period: 1991-2020 within the AOI</t>
  </si>
  <si>
    <t>tridens[AOI]</t>
  </si>
  <si>
    <t>tridens</t>
  </si>
  <si>
    <t>Toxic Release Inventory Site</t>
  </si>
  <si>
    <t>Density of TRI (Toxic Release Inventory) sites within AOI (sites/square km)</t>
  </si>
  <si>
    <t>waterinput[AOI]</t>
  </si>
  <si>
    <t>waterinput</t>
  </si>
  <si>
    <t>Water Input</t>
  </si>
  <si>
    <t>Water Input (km2/cm): Ratio of the total area of irrigated land to precipitation within AOI</t>
  </si>
  <si>
    <t>Square Kilometers/Centimeter</t>
  </si>
  <si>
    <t>wdrw_LD[AOI]</t>
  </si>
  <si>
    <t>wdrw_LD</t>
  </si>
  <si>
    <t>Agricultural Fresh Surface-Water Withdraw</t>
  </si>
  <si>
    <t>Total fresh surface-water withdrawals in agricultural land per AOI area (L/day)</t>
  </si>
  <si>
    <t>wetindex[AOI]</t>
  </si>
  <si>
    <t>wetindex</t>
  </si>
  <si>
    <t>Wetness Index</t>
  </si>
  <si>
    <t>Mean Composite Topographic Index (CTI)[Wetness Index] within AOI</t>
  </si>
  <si>
    <t>WetIndex</t>
  </si>
  <si>
    <t>wettedwidth</t>
  </si>
  <si>
    <t>Predicted Wetted Width</t>
  </si>
  <si>
    <t>Predicted wetted width: distance of the waters edge from left to right bank</t>
  </si>
  <si>
    <t>wsareasqkm[AOI]</t>
  </si>
  <si>
    <t>wsareasqkm</t>
  </si>
  <si>
    <t>Watershed area (square km) at NHDPlus stream segment outlet, i.e., at the most downstream location of the vector line segment</t>
  </si>
  <si>
    <t>wsareasqkmrp100[AOI]</t>
  </si>
  <si>
    <t>wsareasqkmrp1002001</t>
  </si>
  <si>
    <t>Ws, WsRp100</t>
  </si>
  <si>
    <t>Watershed Area Square Kilometers Riparian 100 Meters</t>
  </si>
  <si>
    <t>Watershed area (square km) within a 100-m buffer of NHD streams. Original NLCD 2006 water cells adjacent to NHD stream lines used to expand NHD stream lines to full water area</t>
  </si>
  <si>
    <t>Johnson s.  b. 2019</t>
  </si>
  <si>
    <t>wtdep[AOI]</t>
  </si>
  <si>
    <t>wtdep</t>
  </si>
  <si>
    <t>Mean Water Table Depth</t>
  </si>
  <si>
    <t>Mean seasonal water table depth (cm) of soils (STATSGO) within AOI</t>
  </si>
  <si>
    <t>wwtpalldens[AOI]</t>
  </si>
  <si>
    <t>wwtpalldens</t>
  </si>
  <si>
    <t>All Wastewater Treatment Density</t>
  </si>
  <si>
    <t>Density (number/ km2) of all wastewater treatment plants per AOI</t>
  </si>
  <si>
    <t>Count/Kilometer</t>
  </si>
  <si>
    <t>Waste Water Treatment Plant (WWTP)</t>
  </si>
  <si>
    <t>wwtpmajordens[AOI]</t>
  </si>
  <si>
    <t>wwtpmajordens</t>
  </si>
  <si>
    <t>Major Wastewater Treatment Density</t>
  </si>
  <si>
    <t>Density (number/ km2) of major wastewater treatment plants per AOI</t>
  </si>
  <si>
    <t>wwtpminordens[AOI]</t>
  </si>
  <si>
    <t>wwtpminordens</t>
  </si>
  <si>
    <t>Minor Wastewater Treatment Density</t>
  </si>
  <si>
    <t>Density (number/ km2) of minor wastewater treatment plants per AOI</t>
  </si>
  <si>
    <t>rowname minus ws</t>
  </si>
  <si>
    <t>Name</t>
  </si>
  <si>
    <t>Description</t>
  </si>
  <si>
    <t>Metric description</t>
  </si>
  <si>
    <t>AGKFFACTWS</t>
  </si>
  <si>
    <t>AL2O3WS</t>
  </si>
  <si>
    <t>BANKFULLDEPTH</t>
  </si>
  <si>
    <t>BANKFULLWIDTH</t>
  </si>
  <si>
    <t>BFIWS</t>
  </si>
  <si>
    <t>CAOWS</t>
  </si>
  <si>
    <t>CBNFWS</t>
  </si>
  <si>
    <t>CLAYWS</t>
  </si>
  <si>
    <t>DAMDENSWS</t>
  </si>
  <si>
    <t>DAMNIDSTORWS</t>
  </si>
  <si>
    <t>DAMNRMSTORWS</t>
  </si>
  <si>
    <t>distance</t>
  </si>
  <si>
    <t>ELEVWS</t>
  </si>
  <si>
    <t>FE2O3WS</t>
  </si>
  <si>
    <t>FERTWS</t>
  </si>
  <si>
    <t>HUDEN2010WS</t>
  </si>
  <si>
    <t>INORGNWETDEP2008WS</t>
  </si>
  <si>
    <t>K2OWS</t>
  </si>
  <si>
    <t>MANUREWS</t>
  </si>
  <si>
    <t>MAST2008</t>
  </si>
  <si>
    <t>MGOWS</t>
  </si>
  <si>
    <t>MWST2008</t>
  </si>
  <si>
    <t>NA2OWS</t>
  </si>
  <si>
    <t>NABD_DENSWS</t>
  </si>
  <si>
    <t>NABD_NIDSTORWS</t>
  </si>
  <si>
    <t>NABD_NRMSTORWS</t>
  </si>
  <si>
    <t>NANIWS</t>
  </si>
  <si>
    <t>NH42008WS</t>
  </si>
  <si>
    <t>NO32008WS</t>
  </si>
  <si>
    <t>NSURPWS</t>
  </si>
  <si>
    <t>P2O5WS</t>
  </si>
  <si>
    <t>PCT_EROD</t>
  </si>
  <si>
    <t>PCTAGSLPHIGH2001WS</t>
  </si>
  <si>
    <t>PCTAGSLPMID2001WS</t>
  </si>
  <si>
    <t>PCTBURNAREA2002WS</t>
  </si>
  <si>
    <t>PCTFIRE2002WS</t>
  </si>
  <si>
    <t>PCTHAY2001WS</t>
  </si>
  <si>
    <t>PCTHIGHSEV2002WS</t>
  </si>
  <si>
    <t>PCTIMP2001WS</t>
  </si>
  <si>
    <t>PCTIMPSLPHIGH2001WS</t>
  </si>
  <si>
    <t>PCTIMPSLPMID2001WS</t>
  </si>
  <si>
    <t>PCTLOWSEV2002WS</t>
  </si>
  <si>
    <t>PCTMODSEV2002WS</t>
  </si>
  <si>
    <t>PCTMXFST2001WS</t>
  </si>
  <si>
    <t>PCTNONCARBRESIDWS</t>
  </si>
  <si>
    <t>PCTSILICICWS</t>
  </si>
  <si>
    <t>PCTUNDSEV2002WS</t>
  </si>
  <si>
    <t>PCTURBLO2001WS</t>
  </si>
  <si>
    <t>PCTURBMD2001WS</t>
  </si>
  <si>
    <t>PERMWS</t>
  </si>
  <si>
    <t>POPDEN2010WS</t>
  </si>
  <si>
    <t>PRECIP_MINUS_EVTWS</t>
  </si>
  <si>
    <t>PRECIP2008WS</t>
  </si>
  <si>
    <t>PRECIP8110WS</t>
  </si>
  <si>
    <t>PRECIP9120WS</t>
  </si>
  <si>
    <t>RUNOFFWS</t>
  </si>
  <si>
    <t>SANDWS</t>
  </si>
  <si>
    <t>SIO2WS</t>
  </si>
  <si>
    <t>SN2008WS</t>
  </si>
  <si>
    <t>SW_FLUXWS</t>
  </si>
  <si>
    <t>THALWEGDEPTH</t>
  </si>
  <si>
    <t>TMAX8110WS</t>
  </si>
  <si>
    <t>TMAX9120WS</t>
  </si>
  <si>
    <t>TMEAN2008WS</t>
  </si>
  <si>
    <t>TMEAN8110WS</t>
  </si>
  <si>
    <t>TMEAN9120WS</t>
  </si>
  <si>
    <t>TMIN8110WS</t>
  </si>
  <si>
    <t>TMIN9120WS</t>
  </si>
  <si>
    <t>WATERINPUTWS</t>
  </si>
  <si>
    <t>WDRW_LDWS</t>
  </si>
  <si>
    <t>WETTEDWIDTH</t>
  </si>
  <si>
    <t>WWTPALLDENSWS</t>
  </si>
  <si>
    <t>WWTPMINORDENSWS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</si>
</sst>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0" fillId="4" borderId="0" xfId="0" applyFill="1"/>
    <xf numFmtId="0" fontId="4" fillId="3" borderId="0" xfId="0" applyFont="1" applyFill="1"/>
    <xf numFmtId="0" fontId="4" fillId="5" borderId="0" xfId="0" applyFont="1" applyFill="1"/>
    <xf numFmtId="0" fontId="1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5" xfId="0" applyFill="1" applyBorder="1"/>
    <xf numFmtId="0" fontId="1" fillId="6" borderId="5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5" xfId="0" applyFont="1" applyFill="1" applyBorder="1"/>
    <xf numFmtId="0" fontId="0" fillId="0" borderId="5" xfId="0" applyFont="1" applyFill="1" applyBorder="1"/>
    <xf numFmtId="0" fontId="7" fillId="6" borderId="5" xfId="0" applyFont="1" applyFill="1" applyBorder="1" applyAlignment="1">
      <alignment horizontal="center" wrapText="1"/>
    </xf>
    <xf numFmtId="0" fontId="7" fillId="6" borderId="6" xfId="0" applyFont="1" applyFill="1" applyBorder="1"/>
    <xf numFmtId="0" fontId="1" fillId="6" borderId="6" xfId="0" applyFont="1" applyFill="1" applyBorder="1"/>
    <xf numFmtId="0" fontId="1" fillId="7" borderId="6" xfId="0" applyFont="1" applyFill="1" applyBorder="1"/>
    <xf numFmtId="0" fontId="1" fillId="0" borderId="6" xfId="0" applyFont="1" applyBorder="1"/>
    <xf numFmtId="0" fontId="1" fillId="0" borderId="2" xfId="0" applyFont="1" applyBorder="1"/>
    <xf numFmtId="0" fontId="7" fillId="6" borderId="5" xfId="0" applyFont="1" applyFill="1" applyBorder="1"/>
    <xf numFmtId="0" fontId="1" fillId="6" borderId="5" xfId="0" applyFont="1" applyFill="1" applyBorder="1"/>
    <xf numFmtId="0" fontId="1" fillId="7" borderId="5" xfId="0" applyFont="1" applyFill="1" applyBorder="1"/>
    <xf numFmtId="0" fontId="1" fillId="0" borderId="5" xfId="0" applyFont="1" applyBorder="1"/>
    <xf numFmtId="0" fontId="1" fillId="0" borderId="0" xfId="0" applyFont="1" applyBorder="1"/>
    <xf numFmtId="0" fontId="7" fillId="6" borderId="7" xfId="0" applyFont="1" applyFill="1" applyBorder="1"/>
    <xf numFmtId="0" fontId="1" fillId="6" borderId="7" xfId="0" applyFont="1" applyFill="1" applyBorder="1"/>
    <xf numFmtId="0" fontId="1" fillId="7" borderId="7" xfId="0" applyFont="1" applyFill="1" applyBorder="1"/>
    <xf numFmtId="0" fontId="1" fillId="0" borderId="7" xfId="0" applyFont="1" applyBorder="1"/>
    <xf numFmtId="0" fontId="1" fillId="0" borderId="3" xfId="0" applyFont="1" applyBorder="1"/>
    <xf numFmtId="0" fontId="2" fillId="6" borderId="6" xfId="0" applyFont="1" applyFill="1" applyBorder="1"/>
    <xf numFmtId="0" fontId="2" fillId="7" borderId="6" xfId="0" applyFont="1" applyFill="1" applyBorder="1"/>
    <xf numFmtId="0" fontId="2" fillId="0" borderId="6" xfId="0" applyFont="1" applyBorder="1"/>
    <xf numFmtId="0" fontId="2" fillId="0" borderId="2" xfId="0" applyFont="1" applyBorder="1"/>
    <xf numFmtId="0" fontId="2" fillId="6" borderId="5" xfId="0" applyFont="1" applyFill="1" applyBorder="1"/>
    <xf numFmtId="0" fontId="2" fillId="7" borderId="5" xfId="0" applyFont="1" applyFill="1" applyBorder="1"/>
    <xf numFmtId="0" fontId="2" fillId="0" borderId="5" xfId="0" applyFont="1" applyBorder="1"/>
    <xf numFmtId="0" fontId="2" fillId="0" borderId="0" xfId="0" applyFont="1" applyBorder="1"/>
    <xf numFmtId="0" fontId="2" fillId="6" borderId="7" xfId="0" applyFont="1" applyFill="1" applyBorder="1"/>
    <xf numFmtId="0" fontId="2" fillId="7" borderId="7" xfId="0" applyFont="1" applyFill="1" applyBorder="1"/>
    <xf numFmtId="0" fontId="2" fillId="0" borderId="7" xfId="0" applyFont="1" applyBorder="1"/>
    <xf numFmtId="0" fontId="2" fillId="0" borderId="3" xfId="0" applyFont="1" applyBorder="1"/>
    <xf numFmtId="0" fontId="7" fillId="6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  <xf numFmtId="0" fontId="1" fillId="0" borderId="1" xfId="0" applyFont="1" applyBorder="1"/>
    <xf numFmtId="0" fontId="1" fillId="0" borderId="4" xfId="0" applyFont="1" applyBorder="1"/>
    <xf numFmtId="0" fontId="7" fillId="7" borderId="5" xfId="0" applyFont="1" applyFill="1" applyBorder="1"/>
    <xf numFmtId="0" fontId="7" fillId="0" borderId="5" xfId="0" applyFont="1" applyBorder="1"/>
    <xf numFmtId="0" fontId="7" fillId="0" borderId="0" xfId="0" applyFont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0" borderId="1" xfId="0" applyFont="1" applyBorder="1"/>
    <xf numFmtId="0" fontId="2" fillId="0" borderId="4" xfId="0" applyFont="1" applyBorder="1"/>
    <xf numFmtId="0" fontId="7" fillId="6" borderId="0" xfId="0" applyFont="1" applyFill="1" applyBorder="1"/>
    <xf numFmtId="0" fontId="1" fillId="6" borderId="0" xfId="0" applyFont="1" applyFill="1" applyBorder="1"/>
    <xf numFmtId="0" fontId="1" fillId="7" borderId="0" xfId="0" applyFont="1" applyFill="1" applyBorder="1"/>
    <xf numFmtId="0" fontId="7" fillId="6" borderId="3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1" fillId="0" borderId="5" xfId="0" applyFont="1" applyFill="1" applyBorder="1"/>
    <xf numFmtId="0" fontId="1" fillId="0" borderId="0" xfId="0" applyFont="1" applyFill="1" applyBorder="1"/>
    <xf numFmtId="0" fontId="1" fillId="0" borderId="1" xfId="0" applyFont="1" applyFill="1" applyBorder="1"/>
    <xf numFmtId="0" fontId="1" fillId="0" borderId="4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1"/>
  <sheetViews>
    <sheetView tabSelected="1" workbookViewId="0">
      <pane ySplit="1" topLeftCell="A2" activePane="bottomLeft" state="frozen"/>
      <selection pane="bottomLeft" activeCell="H1" sqref="H1:H1048576"/>
    </sheetView>
  </sheetViews>
  <sheetFormatPr defaultRowHeight="14.4" x14ac:dyDescent="0.3"/>
  <cols>
    <col min="1" max="1" width="20.21875" style="22" customWidth="1"/>
    <col min="2" max="2" width="21.88671875" style="18" hidden="1" customWidth="1"/>
    <col min="3" max="3" width="42.77734375" style="18" customWidth="1"/>
    <col min="4" max="5" width="13" style="18" customWidth="1"/>
    <col min="6" max="6" width="19" style="18" customWidth="1"/>
    <col min="7" max="7" width="15.88671875" style="23" customWidth="1"/>
    <col min="8" max="8" width="19.109375" style="18" hidden="1" customWidth="1"/>
    <col min="9" max="9" width="50.109375" style="18" customWidth="1"/>
    <col min="10" max="10" width="17.5546875" style="18" customWidth="1"/>
    <col min="11" max="11" width="22.109375" style="18" customWidth="1"/>
    <col min="12" max="12" width="12.6640625" style="18" bestFit="1" customWidth="1"/>
    <col min="13" max="16384" width="8.88671875" style="17"/>
  </cols>
  <sheetData>
    <row r="1" spans="1:12" s="16" customFormat="1" x14ac:dyDescent="0.3">
      <c r="A1" s="24" t="s">
        <v>0</v>
      </c>
      <c r="B1" s="19" t="s">
        <v>683</v>
      </c>
      <c r="C1" s="19" t="s">
        <v>684</v>
      </c>
      <c r="D1" s="19" t="s">
        <v>6</v>
      </c>
      <c r="E1" s="19" t="s">
        <v>8</v>
      </c>
      <c r="F1" s="19" t="s">
        <v>686</v>
      </c>
      <c r="G1" s="20" t="s">
        <v>1</v>
      </c>
      <c r="H1" s="20" t="s">
        <v>683</v>
      </c>
      <c r="I1" s="20" t="s">
        <v>684</v>
      </c>
      <c r="J1" s="20" t="s">
        <v>6</v>
      </c>
      <c r="K1" s="20" t="s">
        <v>685</v>
      </c>
      <c r="L1" s="21" t="s">
        <v>2</v>
      </c>
    </row>
    <row r="2" spans="1:12" s="29" customFormat="1" x14ac:dyDescent="0.3">
      <c r="A2" s="25" t="s">
        <v>687</v>
      </c>
      <c r="B2" s="26" t="str">
        <f t="shared" ref="B2:B65" si="0">IF(RIGHT(A2,2)="WS", LEFT(A2,LEN(A2)-2),A2)</f>
        <v>AGKFFACT</v>
      </c>
      <c r="C2" s="26" t="str">
        <f>INDEX(Active!J:J, MATCH(Spearmans2!B2, Active!F:F,0),1)</f>
        <v>Ag Soil Erodibility Kf Factor</v>
      </c>
      <c r="D2" s="26" t="str">
        <f>INDEX(Active!B:B, MATCH(Spearmans2!B2, Active!F:F,0),1)</f>
        <v>Anthropogenic</v>
      </c>
      <c r="E2" s="26" t="str">
        <f>INDEX(Active!D:D, MATCH(Spearmans2!B2, Active!F:F,0),1)</f>
        <v>Agriculture</v>
      </c>
      <c r="F2" s="26" t="str">
        <f>INDEX(Active!K:K, MATCH(Spearmans2!B2,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2" s="27" t="s">
        <v>693</v>
      </c>
      <c r="H2" s="27" t="str">
        <f t="shared" ref="H2:H65" si="1">IF(RIGHT(G2,2)="WS", LEFT(G2,LEN(G2)-2),G2)</f>
        <v>CBNF</v>
      </c>
      <c r="I2" s="27" t="str">
        <f>INDEX(Active!J:J, MATCH(Spearmans2!H2, Active!F:F,0),1)</f>
        <v>Cultivated Biological Nitrogen Fixation Mean Rate</v>
      </c>
      <c r="J2" s="27" t="str">
        <f>INDEX(Active!B:B, MATCH(Spearmans2!H2, Active!F:F,0),1)</f>
        <v>Anthropogenic</v>
      </c>
      <c r="K2" s="27" t="str">
        <f>INDEX(Active!K:K, MATCH(Spearmans2!H2, Active!F:F,0),1)</f>
        <v>Mean rate of biological nitrogen fixation from the cultivation of crops in kg N/ha/yr, within AOI</v>
      </c>
      <c r="L2" s="28">
        <v>0.98243648282989948</v>
      </c>
    </row>
    <row r="3" spans="1:12" s="34" customFormat="1" x14ac:dyDescent="0.3">
      <c r="A3" s="30" t="s">
        <v>687</v>
      </c>
      <c r="B3" s="31" t="str">
        <f t="shared" si="0"/>
        <v>AGKFFACT</v>
      </c>
      <c r="C3" s="31" t="str">
        <f>INDEX(Active!J:J, MATCH(Spearmans2!B3, Active!F:F,0),1)</f>
        <v>Ag Soil Erodibility Kf Factor</v>
      </c>
      <c r="D3" s="31" t="str">
        <f>INDEX(Active!B:B, MATCH(Spearmans2!B3, Active!F:F,0),1)</f>
        <v>Anthropogenic</v>
      </c>
      <c r="E3" s="31" t="str">
        <f>INDEX(Active!D:D, MATCH(Spearmans2!B3, Active!F:F,0),1)</f>
        <v>Agriculture</v>
      </c>
      <c r="F3" s="31" t="str">
        <f>INDEX(Active!K:K, MATCH(Spearmans2!B3,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3" s="32" t="s">
        <v>701</v>
      </c>
      <c r="H3" s="32" t="str">
        <f t="shared" si="1"/>
        <v>FERT</v>
      </c>
      <c r="I3" s="32" t="str">
        <f>INDEX(Active!J:J, MATCH(Spearmans2!H3, Active!F:F,0),1)</f>
        <v>Synthetic Nitrogen Fertilizer Application Mean Rate</v>
      </c>
      <c r="J3" s="32" t="str">
        <f>INDEX(Active!B:B, MATCH(Spearmans2!H3, Active!F:F,0),1)</f>
        <v>Anthropogenic</v>
      </c>
      <c r="K3" s="32" t="str">
        <f>INDEX(Active!K:K, MATCH(Spearmans2!H3, Active!F:F,0),1)</f>
        <v>Mean rate of synthetic nitrogen fertilizer application to agricultural land in kg N/ha/yr, within the AOI</v>
      </c>
      <c r="L3" s="33">
        <v>0.98664056927519972</v>
      </c>
    </row>
    <row r="4" spans="1:12" s="34" customFormat="1" x14ac:dyDescent="0.3">
      <c r="A4" s="30" t="s">
        <v>687</v>
      </c>
      <c r="B4" s="31" t="str">
        <f t="shared" si="0"/>
        <v>AGKFFACT</v>
      </c>
      <c r="C4" s="31" t="str">
        <f>INDEX(Active!J:J, MATCH(Spearmans2!B4, Active!F:F,0),1)</f>
        <v>Ag Soil Erodibility Kf Factor</v>
      </c>
      <c r="D4" s="31" t="str">
        <f>INDEX(Active!B:B, MATCH(Spearmans2!B4, Active!F:F,0),1)</f>
        <v>Anthropogenic</v>
      </c>
      <c r="E4" s="31" t="str">
        <f>INDEX(Active!D:D, MATCH(Spearmans2!B4, Active!F:F,0),1)</f>
        <v>Agriculture</v>
      </c>
      <c r="F4" s="31" t="str">
        <f>INDEX(Active!K:K, MATCH(Spearmans2!B4,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4" s="32" t="s">
        <v>705</v>
      </c>
      <c r="H4" s="32" t="str">
        <f t="shared" si="1"/>
        <v>MANURE</v>
      </c>
      <c r="I4" s="32" t="str">
        <f>INDEX(Active!J:J, MATCH(Spearmans2!H4, Active!F:F,0),1)</f>
        <v>Mean Manure Application Rate</v>
      </c>
      <c r="J4" s="32" t="str">
        <f>INDEX(Active!B:B, MATCH(Spearmans2!H4, Active!F:F,0),1)</f>
        <v>Anthropogenic</v>
      </c>
      <c r="K4" s="32" t="str">
        <f>INDEX(Active!K:K, MATCH(Spearmans2!H4, Active!F:F,0),1)</f>
        <v>Mean rate of manure application to agricultural land from confined animal feeding operations in kg N/ha/yr, within AOI</v>
      </c>
      <c r="L4" s="33">
        <v>0.88720799208332568</v>
      </c>
    </row>
    <row r="5" spans="1:12" s="34" customFormat="1" x14ac:dyDescent="0.3">
      <c r="A5" s="30" t="s">
        <v>687</v>
      </c>
      <c r="B5" s="31" t="str">
        <f t="shared" si="0"/>
        <v>AGKFFACT</v>
      </c>
      <c r="C5" s="31" t="str">
        <f>INDEX(Active!J:J, MATCH(Spearmans2!B5, Active!F:F,0),1)</f>
        <v>Ag Soil Erodibility Kf Factor</v>
      </c>
      <c r="D5" s="31" t="str">
        <f>INDEX(Active!B:B, MATCH(Spearmans2!B5, Active!F:F,0),1)</f>
        <v>Anthropogenic</v>
      </c>
      <c r="E5" s="31" t="str">
        <f>INDEX(Active!D:D, MATCH(Spearmans2!B5, Active!F:F,0),1)</f>
        <v>Agriculture</v>
      </c>
      <c r="F5" s="31" t="str">
        <f>INDEX(Active!K:K, MATCH(Spearmans2!B5,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5" s="32" t="s">
        <v>755</v>
      </c>
      <c r="H5" s="32" t="str">
        <f t="shared" si="1"/>
        <v>WATERINPUT</v>
      </c>
      <c r="I5" s="32" t="str">
        <f>INDEX(Active!J:J, MATCH(Spearmans2!H5, Active!F:F,0),1)</f>
        <v>Water Input</v>
      </c>
      <c r="J5" s="32" t="str">
        <f>INDEX(Active!B:B, MATCH(Spearmans2!H5, Active!F:F,0),1)</f>
        <v>Anthropogenic</v>
      </c>
      <c r="K5" s="32" t="str">
        <f>INDEX(Active!K:K, MATCH(Spearmans2!H5, Active!F:F,0),1)</f>
        <v>Water Input (km2/cm): Ratio of the total area of irrigated land to precipitation within AOI</v>
      </c>
      <c r="L5" s="33">
        <v>0.92320941532887735</v>
      </c>
    </row>
    <row r="6" spans="1:12" s="39" customFormat="1" x14ac:dyDescent="0.3">
      <c r="A6" s="35" t="s">
        <v>687</v>
      </c>
      <c r="B6" s="36" t="str">
        <f t="shared" si="0"/>
        <v>AGKFFACT</v>
      </c>
      <c r="C6" s="36" t="str">
        <f>INDEX(Active!J:J, MATCH(Spearmans2!B6, Active!F:F,0),1)</f>
        <v>Ag Soil Erodibility Kf Factor</v>
      </c>
      <c r="D6" s="36" t="str">
        <f>INDEX(Active!B:B, MATCH(Spearmans2!B6, Active!F:F,0),1)</f>
        <v>Anthropogenic</v>
      </c>
      <c r="E6" s="36" t="str">
        <f>INDEX(Active!D:D, MATCH(Spearmans2!B6, Active!F:F,0),1)</f>
        <v>Agriculture</v>
      </c>
      <c r="F6" s="36" t="str">
        <f>INDEX(Active!K:K, MATCH(Spearmans2!B6,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G6" s="37" t="s">
        <v>756</v>
      </c>
      <c r="H6" s="37" t="str">
        <f t="shared" si="1"/>
        <v>WDRW_LD</v>
      </c>
      <c r="I6" s="37" t="str">
        <f>INDEX(Active!J:J, MATCH(Spearmans2!H6, Active!F:F,0),1)</f>
        <v>Agricultural Fresh Surface-Water Withdraw</v>
      </c>
      <c r="J6" s="37" t="str">
        <f>INDEX(Active!B:B, MATCH(Spearmans2!H6, Active!F:F,0),1)</f>
        <v>Anthropogenic</v>
      </c>
      <c r="K6" s="37" t="str">
        <f>INDEX(Active!K:K, MATCH(Spearmans2!H6, Active!F:F,0),1)</f>
        <v>Total fresh surface-water withdrawals in agricultural land per AOI area (L/day)</v>
      </c>
      <c r="L6" s="38">
        <v>0.93960965946699904</v>
      </c>
    </row>
    <row r="7" spans="1:12" s="29" customFormat="1" x14ac:dyDescent="0.3">
      <c r="A7" s="25" t="s">
        <v>688</v>
      </c>
      <c r="B7" s="26" t="str">
        <f t="shared" si="0"/>
        <v>AL2O3</v>
      </c>
      <c r="C7" s="26" t="str">
        <f>INDEX(Active!J:J, MATCH(Spearmans2!B7, Active!F:F,0),1)</f>
        <v>Mean Lithological Aluminum Oxide</v>
      </c>
      <c r="D7" s="26" t="str">
        <f>INDEX(Active!B:B, MATCH(Spearmans2!B7, Active!F:F,0),1)</f>
        <v>Natural</v>
      </c>
      <c r="E7" s="26" t="str">
        <f>INDEX(Active!D:D, MATCH(Spearmans2!B7, Active!F:F,0),1)</f>
        <v>Lithology</v>
      </c>
      <c r="F7" s="26" t="str">
        <f>INDEX(Active!K:K, MATCH(Spearmans2!B7, Active!F:F,0),1)</f>
        <v>Mean % of lithological aluminum oxide (Al2O3) content in surface or near surface geology within AOI</v>
      </c>
      <c r="G7" s="27" t="s">
        <v>692</v>
      </c>
      <c r="H7" s="27" t="str">
        <f t="shared" si="1"/>
        <v>CAO</v>
      </c>
      <c r="I7" s="27" t="str">
        <f>INDEX(Active!J:J, MATCH(Spearmans2!H7, Active!F:F,0),1)</f>
        <v>Mean Lithological Calcium Oxide</v>
      </c>
      <c r="J7" s="27" t="str">
        <f>INDEX(Active!B:B, MATCH(Spearmans2!H7, Active!F:F,0),1)</f>
        <v>Natural</v>
      </c>
      <c r="K7" s="27" t="str">
        <f>INDEX(Active!K:K, MATCH(Spearmans2!H7, Active!F:F,0),1)</f>
        <v>Mean % of lithological calcium oxide (CaO) content in surface or near surface geology within AOI</v>
      </c>
      <c r="L7" s="28">
        <v>0.84628043173663603</v>
      </c>
    </row>
    <row r="8" spans="1:12" s="34" customFormat="1" x14ac:dyDescent="0.3">
      <c r="A8" s="30" t="s">
        <v>688</v>
      </c>
      <c r="B8" s="31" t="str">
        <f t="shared" si="0"/>
        <v>AL2O3</v>
      </c>
      <c r="C8" s="31" t="str">
        <f>INDEX(Active!J:J, MATCH(Spearmans2!B8, Active!F:F,0),1)</f>
        <v>Mean Lithological Aluminum Oxide</v>
      </c>
      <c r="D8" s="31" t="str">
        <f>INDEX(Active!B:B, MATCH(Spearmans2!B8, Active!F:F,0),1)</f>
        <v>Natural</v>
      </c>
      <c r="E8" s="31" t="str">
        <f>INDEX(Active!D:D, MATCH(Spearmans2!B8, Active!F:F,0),1)</f>
        <v>Lithology</v>
      </c>
      <c r="F8" s="31" t="str">
        <f>INDEX(Active!K:K, MATCH(Spearmans2!B8, Active!F:F,0),1)</f>
        <v>Mean % of lithological aluminum oxide (Al2O3) content in surface or near surface geology within AOI</v>
      </c>
      <c r="G8" s="32" t="s">
        <v>709</v>
      </c>
      <c r="H8" s="32" t="str">
        <f t="shared" si="1"/>
        <v>NA2O</v>
      </c>
      <c r="I8" s="32" t="str">
        <f>INDEX(Active!J:J, MATCH(Spearmans2!H8, Active!F:F,0),1)</f>
        <v>Mean Lithological Sodium Oxide</v>
      </c>
      <c r="J8" s="32" t="str">
        <f>INDEX(Active!B:B, MATCH(Spearmans2!H8, Active!F:F,0),1)</f>
        <v>Natural</v>
      </c>
      <c r="K8" s="32" t="str">
        <f>INDEX(Active!K:K, MATCH(Spearmans2!H8, Active!F:F,0),1)</f>
        <v>Mean % of lithological sodium oxide (Na2O) content in surface or near surface geology within AOI</v>
      </c>
      <c r="L8" s="33">
        <v>0.94939989138707481</v>
      </c>
    </row>
    <row r="9" spans="1:12" s="39" customFormat="1" x14ac:dyDescent="0.3">
      <c r="A9" s="35" t="s">
        <v>688</v>
      </c>
      <c r="B9" s="36" t="str">
        <f t="shared" si="0"/>
        <v>AL2O3</v>
      </c>
      <c r="C9" s="36" t="str">
        <f>INDEX(Active!J:J, MATCH(Spearmans2!B9, Active!F:F,0),1)</f>
        <v>Mean Lithological Aluminum Oxide</v>
      </c>
      <c r="D9" s="36" t="str">
        <f>INDEX(Active!B:B, MATCH(Spearmans2!B9, Active!F:F,0),1)</f>
        <v>Natural</v>
      </c>
      <c r="E9" s="36" t="str">
        <f>INDEX(Active!D:D, MATCH(Spearmans2!B9, Active!F:F,0),1)</f>
        <v>Lithology</v>
      </c>
      <c r="F9" s="36" t="str">
        <f>INDEX(Active!K:K, MATCH(Spearmans2!B9, Active!F:F,0),1)</f>
        <v>Mean % of lithological aluminum oxide (Al2O3) content in surface or near surface geology within AOI</v>
      </c>
      <c r="G9" s="37" t="s">
        <v>717</v>
      </c>
      <c r="H9" s="37" t="str">
        <f t="shared" si="1"/>
        <v>P2O5</v>
      </c>
      <c r="I9" s="37" t="str">
        <f>INDEX(Active!J:J, MATCH(Spearmans2!H9, Active!F:F,0),1)</f>
        <v>Mean Lithological Phosphorous Oxide</v>
      </c>
      <c r="J9" s="37" t="str">
        <f>INDEX(Active!B:B, MATCH(Spearmans2!H9, Active!F:F,0),1)</f>
        <v>Natural</v>
      </c>
      <c r="K9" s="37" t="str">
        <f>INDEX(Active!K:K, MATCH(Spearmans2!H9, Active!F:F,0),1)</f>
        <v>Mean % of lithological phosphorous oxide (P2O5) content in surface or near surface geology within AOI</v>
      </c>
      <c r="L9" s="38">
        <v>0.88677450618325082</v>
      </c>
    </row>
    <row r="10" spans="1:12" s="43" customFormat="1" x14ac:dyDescent="0.3">
      <c r="A10" s="40" t="s">
        <v>689</v>
      </c>
      <c r="B10" s="40" t="str">
        <f t="shared" si="0"/>
        <v>BANKFULLDEPTH</v>
      </c>
      <c r="C10" s="40" t="str">
        <f>INDEX(Active!J:J, MATCH(Spearmans2!B10, Active!F:F,0),1)</f>
        <v>Predicted Bankfull Depth</v>
      </c>
      <c r="D10" s="40" t="str">
        <f>INDEX(Active!B:B, MATCH(Spearmans2!B10, Active!F:F,0),1)</f>
        <v>Natural</v>
      </c>
      <c r="E10" s="40" t="str">
        <f>INDEX(Active!D:D, MATCH(Spearmans2!B10, Active!F:F,0),1)</f>
        <v>Other</v>
      </c>
      <c r="F10" s="40" t="str">
        <f>INDEX(Active!K:K, MATCH(Spearmans2!B10, Active!F:F,0),1)</f>
        <v>Predicted bankfull depth: thalweg depth plus bankfull height, which is the height from the water surface to the bankfull stage</v>
      </c>
      <c r="G10" s="41" t="s">
        <v>690</v>
      </c>
      <c r="H10" s="41" t="str">
        <f t="shared" si="1"/>
        <v>BANKFULLWIDTH</v>
      </c>
      <c r="I10" s="41" t="str">
        <f>INDEX(Active!J:J, MATCH(Spearmans2!H10, Active!F:F,0),1)</f>
        <v>Predicted Bankfull Width</v>
      </c>
      <c r="J10" s="41" t="str">
        <f>INDEX(Active!B:B, MATCH(Spearmans2!H10, Active!F:F,0),1)</f>
        <v>Natural</v>
      </c>
      <c r="K10" s="41" t="str">
        <f>INDEX(Active!K:K, MATCH(Spearmans2!H10, Active!F:F,0),1)</f>
        <v>Predicted bankfull width: distance from left to right bank at bankfull stage where the potential water height would spill outside of the channel and into the floodplain</v>
      </c>
      <c r="L10" s="42">
        <v>0.93596905000154806</v>
      </c>
    </row>
    <row r="11" spans="1:12" s="47" customFormat="1" x14ac:dyDescent="0.3">
      <c r="A11" s="44" t="s">
        <v>689</v>
      </c>
      <c r="B11" s="44" t="str">
        <f t="shared" si="0"/>
        <v>BANKFULLDEPTH</v>
      </c>
      <c r="C11" s="44" t="str">
        <f>INDEX(Active!J:J, MATCH(Spearmans2!B11, Active!F:F,0),1)</f>
        <v>Predicted Bankfull Depth</v>
      </c>
      <c r="D11" s="44" t="str">
        <f>INDEX(Active!B:B, MATCH(Spearmans2!B11, Active!F:F,0),1)</f>
        <v>Natural</v>
      </c>
      <c r="E11" s="44" t="str">
        <f>INDEX(Active!D:D, MATCH(Spearmans2!B11, Active!F:F,0),1)</f>
        <v>Other</v>
      </c>
      <c r="F11" s="44" t="str">
        <f>INDEX(Active!K:K, MATCH(Spearmans2!B11, Active!F:F,0),1)</f>
        <v>Predicted bankfull depth: thalweg depth plus bankfull height, which is the height from the water surface to the bankfull stage</v>
      </c>
      <c r="G11" s="45" t="s">
        <v>716</v>
      </c>
      <c r="H11" s="45" t="str">
        <f t="shared" si="1"/>
        <v>NSURP</v>
      </c>
      <c r="I11" s="45" t="str">
        <f>INDEX(Active!J:J, MATCH(Spearmans2!H11, Active!F:F,0),1)</f>
        <v>Nitrogen Surplus</v>
      </c>
      <c r="J11" s="45" t="str">
        <f>INDEX(Active!B:B, MATCH(Spearmans2!H11, Active!F:F,0),1)</f>
        <v>Anthropogenic</v>
      </c>
      <c r="K11" s="45" t="str">
        <f>INDEX(Active!K:K, MATCH(Spearmans2!H11, Active!F:F,0),1)</f>
        <v>Nitrogen Surplus (kg N / yr) per AOI - excluding biological N Fixation</v>
      </c>
      <c r="L11" s="46">
        <v>0.81101431356622078</v>
      </c>
    </row>
    <row r="12" spans="1:12" s="47" customFormat="1" x14ac:dyDescent="0.3">
      <c r="A12" s="44" t="s">
        <v>689</v>
      </c>
      <c r="B12" s="44" t="str">
        <f t="shared" si="0"/>
        <v>BANKFULLDEPTH</v>
      </c>
      <c r="C12" s="44" t="str">
        <f>INDEX(Active!J:J, MATCH(Spearmans2!B12, Active!F:F,0),1)</f>
        <v>Predicted Bankfull Depth</v>
      </c>
      <c r="D12" s="44" t="str">
        <f>INDEX(Active!B:B, MATCH(Spearmans2!B12, Active!F:F,0),1)</f>
        <v>Natural</v>
      </c>
      <c r="E12" s="44" t="str">
        <f>INDEX(Active!D:D, MATCH(Spearmans2!B12, Active!F:F,0),1)</f>
        <v>Other</v>
      </c>
      <c r="F12" s="44" t="str">
        <f>INDEX(Active!K:K, MATCH(Spearmans2!B12, Active!F:F,0),1)</f>
        <v>Predicted bankfull depth: thalweg depth plus bankfull height, which is the height from the water surface to the bankfull stage</v>
      </c>
      <c r="G12" s="45" t="s">
        <v>747</v>
      </c>
      <c r="H12" s="45" t="str">
        <f t="shared" si="1"/>
        <v>THALWEGDEPTH</v>
      </c>
      <c r="I12" s="45" t="e">
        <f>INDEX(Active!J:J, MATCH(Spearmans2!H12, Active!F:F,0),1)</f>
        <v>#N/A</v>
      </c>
      <c r="J12" s="45" t="e">
        <f>INDEX(Active!B:B, MATCH(Spearmans2!H12, Active!F:F,0),1)</f>
        <v>#N/A</v>
      </c>
      <c r="K12" s="45" t="e">
        <f>INDEX(Active!K:K, MATCH(Spearmans2!H12, Active!F:F,0),1)</f>
        <v>#N/A</v>
      </c>
      <c r="L12" s="46">
        <v>0.92650655463150788</v>
      </c>
    </row>
    <row r="13" spans="1:12" s="51" customFormat="1" x14ac:dyDescent="0.3">
      <c r="A13" s="48" t="s">
        <v>689</v>
      </c>
      <c r="B13" s="48" t="str">
        <f t="shared" si="0"/>
        <v>BANKFULLDEPTH</v>
      </c>
      <c r="C13" s="48" t="str">
        <f>INDEX(Active!J:J, MATCH(Spearmans2!B13, Active!F:F,0),1)</f>
        <v>Predicted Bankfull Depth</v>
      </c>
      <c r="D13" s="48" t="str">
        <f>INDEX(Active!B:B, MATCH(Spearmans2!B13, Active!F:F,0),1)</f>
        <v>Natural</v>
      </c>
      <c r="E13" s="48" t="str">
        <f>INDEX(Active!D:D, MATCH(Spearmans2!B13, Active!F:F,0),1)</f>
        <v>Other</v>
      </c>
      <c r="F13" s="48" t="str">
        <f>INDEX(Active!K:K, MATCH(Spearmans2!B13, Active!F:F,0),1)</f>
        <v>Predicted bankfull depth: thalweg depth plus bankfull height, which is the height from the water surface to the bankfull stage</v>
      </c>
      <c r="G13" s="49" t="s">
        <v>757</v>
      </c>
      <c r="H13" s="49" t="str">
        <f t="shared" si="1"/>
        <v>WETTEDWIDTH</v>
      </c>
      <c r="I13" s="49" t="str">
        <f>INDEX(Active!J:J, MATCH(Spearmans2!H13, Active!F:F,0),1)</f>
        <v>Predicted Wetted Width</v>
      </c>
      <c r="J13" s="49" t="str">
        <f>INDEX(Active!B:B, MATCH(Spearmans2!H13, Active!F:F,0),1)</f>
        <v>Natural</v>
      </c>
      <c r="K13" s="49" t="str">
        <f>INDEX(Active!K:K, MATCH(Spearmans2!H13, Active!F:F,0),1)</f>
        <v>Predicted wetted width: distance of the waters edge from left to right bank</v>
      </c>
      <c r="L13" s="50">
        <v>0.93279080492213351</v>
      </c>
    </row>
    <row r="14" spans="1:12" s="34" customFormat="1" x14ac:dyDescent="0.3">
      <c r="A14" s="30" t="s">
        <v>690</v>
      </c>
      <c r="B14" s="31" t="str">
        <f t="shared" si="0"/>
        <v>BANKFULLWIDTH</v>
      </c>
      <c r="C14" s="31" t="str">
        <f>INDEX(Active!J:J, MATCH(Spearmans2!B14, Active!F:F,0),1)</f>
        <v>Predicted Bankfull Width</v>
      </c>
      <c r="D14" s="31" t="str">
        <f>INDEX(Active!B:B, MATCH(Spearmans2!B14, Active!F:F,0),1)</f>
        <v>Natural</v>
      </c>
      <c r="E14" s="31" t="str">
        <f>INDEX(Active!D:D, MATCH(Spearmans2!B14, Active!F:F,0),1)</f>
        <v>Other</v>
      </c>
      <c r="F14" s="31" t="str">
        <f>INDEX(Active!K:K, MATCH(Spearmans2!B14, Active!F:F,0),1)</f>
        <v>Predicted bankfull width: distance from left to right bank at bankfull stage where the potential water height would spill outside of the channel and into the floodplain</v>
      </c>
      <c r="G14" s="32" t="s">
        <v>689</v>
      </c>
      <c r="H14" s="32" t="str">
        <f t="shared" si="1"/>
        <v>BANKFULLDEPTH</v>
      </c>
      <c r="I14" s="32" t="str">
        <f>INDEX(Active!J:J, MATCH(Spearmans2!H14, Active!F:F,0),1)</f>
        <v>Predicted Bankfull Depth</v>
      </c>
      <c r="J14" s="32" t="str">
        <f>INDEX(Active!B:B, MATCH(Spearmans2!H14, Active!F:F,0),1)</f>
        <v>Natural</v>
      </c>
      <c r="K14" s="32" t="str">
        <f>INDEX(Active!K:K, MATCH(Spearmans2!H14, Active!F:F,0),1)</f>
        <v>Predicted bankfull depth: thalweg depth plus bankfull height, which is the height from the water surface to the bankfull stage</v>
      </c>
      <c r="L14" s="33">
        <v>0.93596905000154806</v>
      </c>
    </row>
    <row r="15" spans="1:12" s="34" customFormat="1" x14ac:dyDescent="0.3">
      <c r="A15" s="30" t="s">
        <v>690</v>
      </c>
      <c r="B15" s="31" t="str">
        <f t="shared" si="0"/>
        <v>BANKFULLWIDTH</v>
      </c>
      <c r="C15" s="31" t="str">
        <f>INDEX(Active!J:J, MATCH(Spearmans2!B15, Active!F:F,0),1)</f>
        <v>Predicted Bankfull Width</v>
      </c>
      <c r="D15" s="31" t="str">
        <f>INDEX(Active!B:B, MATCH(Spearmans2!B15, Active!F:F,0),1)</f>
        <v>Natural</v>
      </c>
      <c r="E15" s="31" t="str">
        <f>INDEX(Active!D:D, MATCH(Spearmans2!B15, Active!F:F,0),1)</f>
        <v>Other</v>
      </c>
      <c r="F15" s="31" t="str">
        <f>INDEX(Active!K:K, MATCH(Spearmans2!B15, Active!F:F,0),1)</f>
        <v>Predicted bankfull width: distance from left to right bank at bankfull stage where the potential water height would spill outside of the channel and into the floodplain</v>
      </c>
      <c r="G15" s="32" t="s">
        <v>713</v>
      </c>
      <c r="H15" s="32" t="str">
        <f t="shared" si="1"/>
        <v>NANI</v>
      </c>
      <c r="I15" s="32" t="str">
        <f>INDEX(Active!J:J, MATCH(Spearmans2!H15, Active!F:F,0),1)</f>
        <v>Anthropogenic Nitrogen</v>
      </c>
      <c r="J15" s="32" t="str">
        <f>INDEX(Active!B:B, MATCH(Spearmans2!H15, Active!F:F,0),1)</f>
        <v>Anthropogenic</v>
      </c>
      <c r="K15" s="32" t="str">
        <f>INDEX(Active!K:K, MATCH(Spearmans2!H15, Active!F:F,0),1)</f>
        <v>Net Anthropogenic Nitrogen within AOI: farm fertilizer + urban fertilizer + NOx deposition + CBNF + Human and Livestock food - crop N content - livestock N content</v>
      </c>
      <c r="L15" s="33">
        <v>0.81943002820513799</v>
      </c>
    </row>
    <row r="16" spans="1:12" s="34" customFormat="1" x14ac:dyDescent="0.3">
      <c r="A16" s="30" t="s">
        <v>690</v>
      </c>
      <c r="B16" s="31" t="str">
        <f t="shared" si="0"/>
        <v>BANKFULLWIDTH</v>
      </c>
      <c r="C16" s="31" t="str">
        <f>INDEX(Active!J:J, MATCH(Spearmans2!B16, Active!F:F,0),1)</f>
        <v>Predicted Bankfull Width</v>
      </c>
      <c r="D16" s="31" t="str">
        <f>INDEX(Active!B:B, MATCH(Spearmans2!B16, Active!F:F,0),1)</f>
        <v>Natural</v>
      </c>
      <c r="E16" s="31" t="str">
        <f>INDEX(Active!D:D, MATCH(Spearmans2!B16, Active!F:F,0),1)</f>
        <v>Other</v>
      </c>
      <c r="F16" s="31" t="str">
        <f>INDEX(Active!K:K, MATCH(Spearmans2!B16, Active!F:F,0),1)</f>
        <v>Predicted bankfull width: distance from left to right bank at bankfull stage where the potential water height would spill outside of the channel and into the floodplain</v>
      </c>
      <c r="G16" s="32" t="s">
        <v>716</v>
      </c>
      <c r="H16" s="32" t="str">
        <f t="shared" si="1"/>
        <v>NSURP</v>
      </c>
      <c r="I16" s="32" t="str">
        <f>INDEX(Active!J:J, MATCH(Spearmans2!H16, Active!F:F,0),1)</f>
        <v>Nitrogen Surplus</v>
      </c>
      <c r="J16" s="32" t="str">
        <f>INDEX(Active!B:B, MATCH(Spearmans2!H16, Active!F:F,0),1)</f>
        <v>Anthropogenic</v>
      </c>
      <c r="K16" s="32" t="str">
        <f>INDEX(Active!K:K, MATCH(Spearmans2!H16, Active!F:F,0),1)</f>
        <v>Nitrogen Surplus (kg N / yr) per AOI - excluding biological N Fixation</v>
      </c>
      <c r="L16" s="33">
        <v>0.82702686025163075</v>
      </c>
    </row>
    <row r="17" spans="1:12" s="34" customFormat="1" x14ac:dyDescent="0.3">
      <c r="A17" s="30" t="s">
        <v>690</v>
      </c>
      <c r="B17" s="31" t="str">
        <f t="shared" si="0"/>
        <v>BANKFULLWIDTH</v>
      </c>
      <c r="C17" s="31" t="str">
        <f>INDEX(Active!J:J, MATCH(Spearmans2!B17, Active!F:F,0),1)</f>
        <v>Predicted Bankfull Width</v>
      </c>
      <c r="D17" s="31" t="str">
        <f>INDEX(Active!B:B, MATCH(Spearmans2!B17, Active!F:F,0),1)</f>
        <v>Natural</v>
      </c>
      <c r="E17" s="31" t="str">
        <f>INDEX(Active!D:D, MATCH(Spearmans2!B17, Active!F:F,0),1)</f>
        <v>Other</v>
      </c>
      <c r="F17" s="31" t="str">
        <f>INDEX(Active!K:K, MATCH(Spearmans2!B17, Active!F:F,0),1)</f>
        <v>Predicted bankfull width: distance from left to right bank at bankfull stage where the potential water height would spill outside of the channel and into the floodplain</v>
      </c>
      <c r="G17" s="32" t="s">
        <v>747</v>
      </c>
      <c r="H17" s="32" t="str">
        <f t="shared" si="1"/>
        <v>THALWEGDEPTH</v>
      </c>
      <c r="I17" s="32" t="e">
        <f>INDEX(Active!J:J, MATCH(Spearmans2!H17, Active!F:F,0),1)</f>
        <v>#N/A</v>
      </c>
      <c r="J17" s="32" t="e">
        <f>INDEX(Active!B:B, MATCH(Spearmans2!H17, Active!F:F,0),1)</f>
        <v>#N/A</v>
      </c>
      <c r="K17" s="32" t="e">
        <f>INDEX(Active!K:K, MATCH(Spearmans2!H17, Active!F:F,0),1)</f>
        <v>#N/A</v>
      </c>
      <c r="L17" s="33">
        <v>0.95463020240567997</v>
      </c>
    </row>
    <row r="18" spans="1:12" s="34" customFormat="1" x14ac:dyDescent="0.3">
      <c r="A18" s="30" t="s">
        <v>690</v>
      </c>
      <c r="B18" s="31" t="str">
        <f t="shared" si="0"/>
        <v>BANKFULLWIDTH</v>
      </c>
      <c r="C18" s="31" t="str">
        <f>INDEX(Active!J:J, MATCH(Spearmans2!B18, Active!F:F,0),1)</f>
        <v>Predicted Bankfull Width</v>
      </c>
      <c r="D18" s="31" t="str">
        <f>INDEX(Active!B:B, MATCH(Spearmans2!B18, Active!F:F,0),1)</f>
        <v>Natural</v>
      </c>
      <c r="E18" s="31" t="str">
        <f>INDEX(Active!D:D, MATCH(Spearmans2!B18, Active!F:F,0),1)</f>
        <v>Other</v>
      </c>
      <c r="F18" s="31" t="str">
        <f>INDEX(Active!K:K, MATCH(Spearmans2!B18, Active!F:F,0),1)</f>
        <v>Predicted bankfull width: distance from left to right bank at bankfull stage where the potential water height would spill outside of the channel and into the floodplain</v>
      </c>
      <c r="G18" s="32" t="s">
        <v>757</v>
      </c>
      <c r="H18" s="32" t="str">
        <f t="shared" si="1"/>
        <v>WETTEDWIDTH</v>
      </c>
      <c r="I18" s="32" t="str">
        <f>INDEX(Active!J:J, MATCH(Spearmans2!H18, Active!F:F,0),1)</f>
        <v>Predicted Wetted Width</v>
      </c>
      <c r="J18" s="32" t="str">
        <f>INDEX(Active!B:B, MATCH(Spearmans2!H18, Active!F:F,0),1)</f>
        <v>Natural</v>
      </c>
      <c r="K18" s="32" t="str">
        <f>INDEX(Active!K:K, MATCH(Spearmans2!H18, Active!F:F,0),1)</f>
        <v>Predicted wetted width: distance of the waters edge from left to right bank</v>
      </c>
      <c r="L18" s="33">
        <v>0.98929659301015338</v>
      </c>
    </row>
    <row r="19" spans="1:12" s="43" customFormat="1" x14ac:dyDescent="0.3">
      <c r="A19" s="40" t="s">
        <v>691</v>
      </c>
      <c r="B19" s="40" t="str">
        <f t="shared" si="0"/>
        <v>BFI</v>
      </c>
      <c r="C19" s="40" t="str">
        <f>INDEX(Active!J:J, MATCH(Spearmans2!B19, Active!F:F,0),1)</f>
        <v>Base Flow Index</v>
      </c>
      <c r="D19" s="40" t="str">
        <f>INDEX(Active!B:B, MATCH(Spearmans2!B19, Active!F:F,0),1)</f>
        <v>Natural</v>
      </c>
      <c r="E19" s="40" t="str">
        <f>INDEX(Active!D:D, MATCH(Spearmans2!B19, Active!F:F,0),1)</f>
        <v>Flow</v>
      </c>
      <c r="F19" s="40" t="str">
        <f>INDEX(Active!K:K, MATCH(Spearmans2!B19, Active!F:F,0),1)</f>
        <v>Base flow is the component of streamflow that can be attributed to ground-water discharge into streams. The BFI is the ratio of base flow to total flow, expressed as a percentage, within AOI</v>
      </c>
      <c r="G19" s="41" t="s">
        <v>706</v>
      </c>
      <c r="H19" s="41" t="str">
        <f t="shared" si="1"/>
        <v>MAST2008</v>
      </c>
      <c r="I19" s="41" t="str">
        <f>INDEX(Active!J:J, MATCH(Spearmans2!H19, Active!F:F,0),1)</f>
        <v>Mean Annual Stream Temp</v>
      </c>
      <c r="J19" s="41" t="str">
        <f>INDEX(Active!B:B, MATCH(Spearmans2!H19, Active!F:F,0),1)</f>
        <v>Natural</v>
      </c>
      <c r="K19" s="41" t="str">
        <f>INDEX(Active!K:K, MATCH(Spearmans2!H19, Active!F:F,0),1)</f>
        <v>Predicted mean annual stream temperature (Jan-Dec) for year 2008, 2009, 2013, 2014</v>
      </c>
      <c r="L19" s="42">
        <v>-0.85411369895202094</v>
      </c>
    </row>
    <row r="20" spans="1:12" s="47" customFormat="1" x14ac:dyDescent="0.3">
      <c r="A20" s="44" t="s">
        <v>691</v>
      </c>
      <c r="B20" s="44" t="str">
        <f t="shared" si="0"/>
        <v>BFI</v>
      </c>
      <c r="C20" s="44" t="str">
        <f>INDEX(Active!J:J, MATCH(Spearmans2!B20, Active!F:F,0),1)</f>
        <v>Base Flow Index</v>
      </c>
      <c r="D20" s="44" t="str">
        <f>INDEX(Active!B:B, MATCH(Spearmans2!B20, Active!F:F,0),1)</f>
        <v>Natural</v>
      </c>
      <c r="E20" s="44" t="str">
        <f>INDEX(Active!D:D, MATCH(Spearmans2!B20, Active!F:F,0),1)</f>
        <v>Flow</v>
      </c>
      <c r="F20" s="44" t="str">
        <f>INDEX(Active!K:K, MATCH(Spearmans2!B20, Active!F:F,0),1)</f>
        <v>Base flow is the component of streamflow that can be attributed to ground-water discharge into streams. The BFI is the ratio of base flow to total flow, expressed as a percentage, within AOI</v>
      </c>
      <c r="G20" s="45" t="s">
        <v>751</v>
      </c>
      <c r="H20" s="45" t="str">
        <f t="shared" si="1"/>
        <v>TMEAN8110</v>
      </c>
      <c r="I20" s="45" t="str">
        <f>INDEX(Active!J:J, MATCH(Spearmans2!H20, Active!F:F,0),1)</f>
        <v>30-year Mean Annual Air Temperature</v>
      </c>
      <c r="J20" s="45" t="str">
        <f>INDEX(Active!B:B, MATCH(Spearmans2!H20, Active!F:F,0),1)</f>
        <v>Natural</v>
      </c>
      <c r="K20" s="45" t="str">
        <f>INDEX(Active!K:K, MATCH(Spearmans2!H20, Active!F:F,0),1)</f>
        <v>PRISM climate data - 30-year normal mean temperature (CÂ°): Annual period: 1981-2010 within the AOI</v>
      </c>
      <c r="L20" s="46">
        <v>-0.81839563520198821</v>
      </c>
    </row>
    <row r="21" spans="1:12" s="47" customFormat="1" x14ac:dyDescent="0.3">
      <c r="A21" s="44" t="s">
        <v>691</v>
      </c>
      <c r="B21" s="44" t="str">
        <f t="shared" si="0"/>
        <v>BFI</v>
      </c>
      <c r="C21" s="44" t="str">
        <f>INDEX(Active!J:J, MATCH(Spearmans2!B21, Active!F:F,0),1)</f>
        <v>Base Flow Index</v>
      </c>
      <c r="D21" s="44" t="str">
        <f>INDEX(Active!B:B, MATCH(Spearmans2!B21, Active!F:F,0),1)</f>
        <v>Natural</v>
      </c>
      <c r="E21" s="44" t="str">
        <f>INDEX(Active!D:D, MATCH(Spearmans2!B21, Active!F:F,0),1)</f>
        <v>Flow</v>
      </c>
      <c r="F21" s="44" t="str">
        <f>INDEX(Active!K:K, MATCH(Spearmans2!B21, Active!F:F,0),1)</f>
        <v>Base flow is the component of streamflow that can be attributed to ground-water discharge into streams. The BFI is the ratio of base flow to total flow, expressed as a percentage, within AOI</v>
      </c>
      <c r="G21" s="45" t="s">
        <v>752</v>
      </c>
      <c r="H21" s="45" t="str">
        <f t="shared" si="1"/>
        <v>TMEAN9120</v>
      </c>
      <c r="I21" s="45" t="str">
        <f>INDEX(Active!J:J, MATCH(Spearmans2!H21, Active!F:F,0),1)</f>
        <v>30-year Mean Annual Air Temperature</v>
      </c>
      <c r="J21" s="45" t="str">
        <f>INDEX(Active!B:B, MATCH(Spearmans2!H21, Active!F:F,0),1)</f>
        <v>Natural</v>
      </c>
      <c r="K21" s="45" t="str">
        <f>INDEX(Active!K:K, MATCH(Spearmans2!H21, Active!F:F,0),1)</f>
        <v>PRISM climate data - 30-year normal mean temperature (CÂ°): Annual period: 1991-2020 within the AOI</v>
      </c>
      <c r="L21" s="46">
        <v>-0.82274738407067993</v>
      </c>
    </row>
    <row r="22" spans="1:12" s="47" customFormat="1" x14ac:dyDescent="0.3">
      <c r="A22" s="44" t="s">
        <v>691</v>
      </c>
      <c r="B22" s="44" t="str">
        <f t="shared" si="0"/>
        <v>BFI</v>
      </c>
      <c r="C22" s="44" t="str">
        <f>INDEX(Active!J:J, MATCH(Spearmans2!B22, Active!F:F,0),1)</f>
        <v>Base Flow Index</v>
      </c>
      <c r="D22" s="44" t="str">
        <f>INDEX(Active!B:B, MATCH(Spearmans2!B22, Active!F:F,0),1)</f>
        <v>Natural</v>
      </c>
      <c r="E22" s="44" t="str">
        <f>INDEX(Active!D:D, MATCH(Spearmans2!B22, Active!F:F,0),1)</f>
        <v>Flow</v>
      </c>
      <c r="F22" s="44" t="str">
        <f>INDEX(Active!K:K, MATCH(Spearmans2!B22, Active!F:F,0),1)</f>
        <v>Base flow is the component of streamflow that can be attributed to ground-water discharge into streams. The BFI is the ratio of base flow to total flow, expressed as a percentage, within AOI</v>
      </c>
      <c r="G22" s="45" t="s">
        <v>753</v>
      </c>
      <c r="H22" s="45" t="str">
        <f t="shared" si="1"/>
        <v>TMIN8110</v>
      </c>
      <c r="I22" s="45" t="str">
        <f>INDEX(Active!J:J, MATCH(Spearmans2!H22, Active!F:F,0),1)</f>
        <v>30-year Average Annual Normal Minimum Air Temperature</v>
      </c>
      <c r="J22" s="45" t="str">
        <f>INDEX(Active!B:B, MATCH(Spearmans2!H22, Active!F:F,0),1)</f>
        <v>Natural</v>
      </c>
      <c r="K22" s="45" t="str">
        <f>INDEX(Active!K:K, MATCH(Spearmans2!H22, Active!F:F,0),1)</f>
        <v>PRISM climate data - 30-year normal minimum temperature (CÂ°): Annual period: 1981-2010 within the AOI</v>
      </c>
      <c r="L22" s="46">
        <v>-0.83434551046336858</v>
      </c>
    </row>
    <row r="23" spans="1:12" s="51" customFormat="1" x14ac:dyDescent="0.3">
      <c r="A23" s="48" t="s">
        <v>691</v>
      </c>
      <c r="B23" s="48" t="str">
        <f t="shared" si="0"/>
        <v>BFI</v>
      </c>
      <c r="C23" s="48" t="str">
        <f>INDEX(Active!J:J, MATCH(Spearmans2!B23, Active!F:F,0),1)</f>
        <v>Base Flow Index</v>
      </c>
      <c r="D23" s="48" t="str">
        <f>INDEX(Active!B:B, MATCH(Spearmans2!B23, Active!F:F,0),1)</f>
        <v>Natural</v>
      </c>
      <c r="E23" s="48" t="str">
        <f>INDEX(Active!D:D, MATCH(Spearmans2!B23, Active!F:F,0),1)</f>
        <v>Flow</v>
      </c>
      <c r="F23" s="48" t="str">
        <f>INDEX(Active!K:K, MATCH(Spearmans2!B23, Active!F:F,0),1)</f>
        <v>Base flow is the component of streamflow that can be attributed to ground-water discharge into streams. The BFI is the ratio of base flow to total flow, expressed as a percentage, within AOI</v>
      </c>
      <c r="G23" s="49" t="s">
        <v>754</v>
      </c>
      <c r="H23" s="49" t="str">
        <f t="shared" si="1"/>
        <v>TMIN9120</v>
      </c>
      <c r="I23" s="49" t="str">
        <f>INDEX(Active!J:J, MATCH(Spearmans2!H23, Active!F:F,0),1)</f>
        <v>30-year Average Annual Normal Minimum Air Temperature</v>
      </c>
      <c r="J23" s="49" t="str">
        <f>INDEX(Active!B:B, MATCH(Spearmans2!H23, Active!F:F,0),1)</f>
        <v>Natural</v>
      </c>
      <c r="K23" s="49" t="str">
        <f>INDEX(Active!K:K, MATCH(Spearmans2!H23, Active!F:F,0),1)</f>
        <v>PRISM climate data - 30-year normal minimum temperature (CÂ°): Annual period: 1991-2020 within the AOI</v>
      </c>
      <c r="L23" s="50">
        <v>-0.84041594356013816</v>
      </c>
    </row>
    <row r="24" spans="1:12" s="43" customFormat="1" x14ac:dyDescent="0.3">
      <c r="A24" s="40" t="s">
        <v>692</v>
      </c>
      <c r="B24" s="40" t="str">
        <f t="shared" si="0"/>
        <v>CAO</v>
      </c>
      <c r="C24" s="40" t="str">
        <f>INDEX(Active!J:J, MATCH(Spearmans2!B24, Active!F:F,0),1)</f>
        <v>Mean Lithological Calcium Oxide</v>
      </c>
      <c r="D24" s="40" t="str">
        <f>INDEX(Active!B:B, MATCH(Spearmans2!B24, Active!F:F,0),1)</f>
        <v>Natural</v>
      </c>
      <c r="E24" s="40" t="str">
        <f>INDEX(Active!D:D, MATCH(Spearmans2!B24, Active!F:F,0),1)</f>
        <v>Lithology</v>
      </c>
      <c r="F24" s="40" t="str">
        <f>INDEX(Active!K:K, MATCH(Spearmans2!B24, Active!F:F,0),1)</f>
        <v>Mean % of lithological calcium oxide (CaO) content in surface or near surface geology within AOI</v>
      </c>
      <c r="G24" s="41" t="s">
        <v>688</v>
      </c>
      <c r="H24" s="41" t="str">
        <f t="shared" si="1"/>
        <v>AL2O3</v>
      </c>
      <c r="I24" s="41" t="str">
        <f>INDEX(Active!J:J, MATCH(Spearmans2!H24, Active!F:F,0),1)</f>
        <v>Mean Lithological Aluminum Oxide</v>
      </c>
      <c r="J24" s="41" t="str">
        <f>INDEX(Active!B:B, MATCH(Spearmans2!H24, Active!F:F,0),1)</f>
        <v>Natural</v>
      </c>
      <c r="K24" s="41" t="str">
        <f>INDEX(Active!K:K, MATCH(Spearmans2!H24, Active!F:F,0),1)</f>
        <v>Mean % of lithological aluminum oxide (Al2O3) content in surface or near surface geology within AOI</v>
      </c>
      <c r="L24" s="42">
        <v>0.84628043173663603</v>
      </c>
    </row>
    <row r="25" spans="1:12" s="47" customFormat="1" x14ac:dyDescent="0.3">
      <c r="A25" s="44" t="s">
        <v>692</v>
      </c>
      <c r="B25" s="44" t="str">
        <f t="shared" si="0"/>
        <v>CAO</v>
      </c>
      <c r="C25" s="44" t="str">
        <f>INDEX(Active!J:J, MATCH(Spearmans2!B25, Active!F:F,0),1)</f>
        <v>Mean Lithological Calcium Oxide</v>
      </c>
      <c r="D25" s="44" t="str">
        <f>INDEX(Active!B:B, MATCH(Spearmans2!B25, Active!F:F,0),1)</f>
        <v>Natural</v>
      </c>
      <c r="E25" s="44" t="str">
        <f>INDEX(Active!D:D, MATCH(Spearmans2!B25, Active!F:F,0),1)</f>
        <v>Lithology</v>
      </c>
      <c r="F25" s="44" t="str">
        <f>INDEX(Active!K:K, MATCH(Spearmans2!B25, Active!F:F,0),1)</f>
        <v>Mean % of lithological calcium oxide (CaO) content in surface or near surface geology within AOI</v>
      </c>
      <c r="G25" s="45" t="s">
        <v>700</v>
      </c>
      <c r="H25" s="45" t="str">
        <f t="shared" si="1"/>
        <v>FE2O3</v>
      </c>
      <c r="I25" s="45" t="str">
        <f>INDEX(Active!J:J, MATCH(Spearmans2!H25, Active!F:F,0),1)</f>
        <v>Mean Lithological Ferric Oxide</v>
      </c>
      <c r="J25" s="45" t="str">
        <f>INDEX(Active!B:B, MATCH(Spearmans2!H25, Active!F:F,0),1)</f>
        <v>Natural</v>
      </c>
      <c r="K25" s="45" t="str">
        <f>INDEX(Active!K:K, MATCH(Spearmans2!H25, Active!F:F,0),1)</f>
        <v>Mean % of lithological ferric oxide (Fe2O3) content in surface or near surface geology within AOI</v>
      </c>
      <c r="L25" s="46">
        <v>0.80613775450641523</v>
      </c>
    </row>
    <row r="26" spans="1:12" s="47" customFormat="1" x14ac:dyDescent="0.3">
      <c r="A26" s="44" t="s">
        <v>692</v>
      </c>
      <c r="B26" s="44" t="str">
        <f t="shared" si="0"/>
        <v>CAO</v>
      </c>
      <c r="C26" s="44" t="str">
        <f>INDEX(Active!J:J, MATCH(Spearmans2!B26, Active!F:F,0),1)</f>
        <v>Mean Lithological Calcium Oxide</v>
      </c>
      <c r="D26" s="44" t="str">
        <f>INDEX(Active!B:B, MATCH(Spearmans2!B26, Active!F:F,0),1)</f>
        <v>Natural</v>
      </c>
      <c r="E26" s="44" t="str">
        <f>INDEX(Active!D:D, MATCH(Spearmans2!B26, Active!F:F,0),1)</f>
        <v>Lithology</v>
      </c>
      <c r="F26" s="44" t="str">
        <f>INDEX(Active!K:K, MATCH(Spearmans2!B26, Active!F:F,0),1)</f>
        <v>Mean % of lithological calcium oxide (CaO) content in surface or near surface geology within AOI</v>
      </c>
      <c r="G26" s="45" t="s">
        <v>704</v>
      </c>
      <c r="H26" s="45" t="str">
        <f t="shared" si="1"/>
        <v>K2O</v>
      </c>
      <c r="I26" s="45" t="str">
        <f>INDEX(Active!J:J, MATCH(Spearmans2!H26, Active!F:F,0),1)</f>
        <v>InorgNWetDep</v>
      </c>
      <c r="J26" s="45" t="str">
        <f>INDEX(Active!B:B, MATCH(Spearmans2!H26, Active!F:F,0),1)</f>
        <v>Natural</v>
      </c>
      <c r="K26" s="45" t="str">
        <f>INDEX(Active!K:K, MATCH(Spearmans2!H26, Active!F:F,0),1)</f>
        <v>Mean % of lithological potassium oxide (K2O) content in surface or near surface geology within AOI</v>
      </c>
      <c r="L26" s="46">
        <v>-0.81954401964103774</v>
      </c>
    </row>
    <row r="27" spans="1:12" s="47" customFormat="1" x14ac:dyDescent="0.3">
      <c r="A27" s="44" t="s">
        <v>692</v>
      </c>
      <c r="B27" s="44" t="str">
        <f t="shared" si="0"/>
        <v>CAO</v>
      </c>
      <c r="C27" s="44" t="str">
        <f>INDEX(Active!J:J, MATCH(Spearmans2!B27, Active!F:F,0),1)</f>
        <v>Mean Lithological Calcium Oxide</v>
      </c>
      <c r="D27" s="44" t="str">
        <f>INDEX(Active!B:B, MATCH(Spearmans2!B27, Active!F:F,0),1)</f>
        <v>Natural</v>
      </c>
      <c r="E27" s="44" t="str">
        <f>INDEX(Active!D:D, MATCH(Spearmans2!B27, Active!F:F,0),1)</f>
        <v>Lithology</v>
      </c>
      <c r="F27" s="44" t="str">
        <f>INDEX(Active!K:K, MATCH(Spearmans2!B27, Active!F:F,0),1)</f>
        <v>Mean % of lithological calcium oxide (CaO) content in surface or near surface geology within AOI</v>
      </c>
      <c r="G27" s="45" t="s">
        <v>707</v>
      </c>
      <c r="H27" s="45" t="str">
        <f t="shared" si="1"/>
        <v>MGO</v>
      </c>
      <c r="I27" s="45" t="str">
        <f>INDEX(Active!J:J, MATCH(Spearmans2!H27, Active!F:F,0),1)</f>
        <v>Mean Lithological Magnesium Oxide</v>
      </c>
      <c r="J27" s="45" t="str">
        <f>INDEX(Active!B:B, MATCH(Spearmans2!H27, Active!F:F,0),1)</f>
        <v>Natural</v>
      </c>
      <c r="K27" s="45" t="str">
        <f>INDEX(Active!K:K, MATCH(Spearmans2!H27, Active!F:F,0),1)</f>
        <v>Mean % of lithological magnesium oxide (MgO) content in surface or near surface geology within AOI</v>
      </c>
      <c r="L27" s="46">
        <v>0.87442098688746606</v>
      </c>
    </row>
    <row r="28" spans="1:12" s="47" customFormat="1" x14ac:dyDescent="0.3">
      <c r="A28" s="44" t="s">
        <v>692</v>
      </c>
      <c r="B28" s="44" t="str">
        <f t="shared" si="0"/>
        <v>CAO</v>
      </c>
      <c r="C28" s="44" t="str">
        <f>INDEX(Active!J:J, MATCH(Spearmans2!B28, Active!F:F,0),1)</f>
        <v>Mean Lithological Calcium Oxide</v>
      </c>
      <c r="D28" s="44" t="str">
        <f>INDEX(Active!B:B, MATCH(Spearmans2!B28, Active!F:F,0),1)</f>
        <v>Natural</v>
      </c>
      <c r="E28" s="44" t="str">
        <f>INDEX(Active!D:D, MATCH(Spearmans2!B28, Active!F:F,0),1)</f>
        <v>Lithology</v>
      </c>
      <c r="F28" s="44" t="str">
        <f>INDEX(Active!K:K, MATCH(Spearmans2!B28, Active!F:F,0),1)</f>
        <v>Mean % of lithological calcium oxide (CaO) content in surface or near surface geology within AOI</v>
      </c>
      <c r="G28" s="45" t="s">
        <v>717</v>
      </c>
      <c r="H28" s="45" t="str">
        <f t="shared" si="1"/>
        <v>P2O5</v>
      </c>
      <c r="I28" s="45" t="str">
        <f>INDEX(Active!J:J, MATCH(Spearmans2!H28, Active!F:F,0),1)</f>
        <v>Mean Lithological Phosphorous Oxide</v>
      </c>
      <c r="J28" s="45" t="str">
        <f>INDEX(Active!B:B, MATCH(Spearmans2!H28, Active!F:F,0),1)</f>
        <v>Natural</v>
      </c>
      <c r="K28" s="45" t="str">
        <f>INDEX(Active!K:K, MATCH(Spearmans2!H28, Active!F:F,0),1)</f>
        <v>Mean % of lithological phosphorous oxide (P2O5) content in surface or near surface geology within AOI</v>
      </c>
      <c r="L28" s="46">
        <v>0.94415439288792224</v>
      </c>
    </row>
    <row r="29" spans="1:12" s="51" customFormat="1" x14ac:dyDescent="0.3">
      <c r="A29" s="48" t="s">
        <v>692</v>
      </c>
      <c r="B29" s="48" t="str">
        <f t="shared" si="0"/>
        <v>CAO</v>
      </c>
      <c r="C29" s="48" t="str">
        <f>INDEX(Active!J:J, MATCH(Spearmans2!B29, Active!F:F,0),1)</f>
        <v>Mean Lithological Calcium Oxide</v>
      </c>
      <c r="D29" s="48" t="str">
        <f>INDEX(Active!B:B, MATCH(Spearmans2!B29, Active!F:F,0),1)</f>
        <v>Natural</v>
      </c>
      <c r="E29" s="48" t="str">
        <f>INDEX(Active!D:D, MATCH(Spearmans2!B29, Active!F:F,0),1)</f>
        <v>Lithology</v>
      </c>
      <c r="F29" s="48" t="str">
        <f>INDEX(Active!K:K, MATCH(Spearmans2!B29, Active!F:F,0),1)</f>
        <v>Mean % of lithological calcium oxide (CaO) content in surface or near surface geology within AOI</v>
      </c>
      <c r="G29" s="49" t="s">
        <v>744</v>
      </c>
      <c r="H29" s="49" t="str">
        <f t="shared" si="1"/>
        <v>SIO2</v>
      </c>
      <c r="I29" s="49" t="str">
        <f>INDEX(Active!J:J, MATCH(Spearmans2!H29, Active!F:F,0),1)</f>
        <v>Mean Lithological Silicon Dioxide</v>
      </c>
      <c r="J29" s="49" t="str">
        <f>INDEX(Active!B:B, MATCH(Spearmans2!H29, Active!F:F,0),1)</f>
        <v>Natural</v>
      </c>
      <c r="K29" s="49" t="str">
        <f>INDEX(Active!K:K, MATCH(Spearmans2!H29, Active!F:F,0),1)</f>
        <v>Mean % of lithological silicon dioxide (SiO2) content in surface or near surface geology within AOI</v>
      </c>
      <c r="L29" s="50">
        <v>-0.92246804781297942</v>
      </c>
    </row>
    <row r="30" spans="1:12" s="34" customFormat="1" x14ac:dyDescent="0.3">
      <c r="A30" s="30" t="s">
        <v>693</v>
      </c>
      <c r="B30" s="31" t="str">
        <f t="shared" si="0"/>
        <v>CBNF</v>
      </c>
      <c r="C30" s="31" t="str">
        <f>INDEX(Active!J:J, MATCH(Spearmans2!B30, Active!F:F,0),1)</f>
        <v>Cultivated Biological Nitrogen Fixation Mean Rate</v>
      </c>
      <c r="D30" s="31" t="str">
        <f>INDEX(Active!B:B, MATCH(Spearmans2!B30, Active!F:F,0),1)</f>
        <v>Anthropogenic</v>
      </c>
      <c r="E30" s="31" t="str">
        <f>INDEX(Active!D:D, MATCH(Spearmans2!B30, Active!F:F,0),1)</f>
        <v>Agriculture</v>
      </c>
      <c r="F30" s="31" t="str">
        <f>INDEX(Active!K:K, MATCH(Spearmans2!B30, Active!F:F,0),1)</f>
        <v>Mean rate of biological nitrogen fixation from the cultivation of crops in kg N/ha/yr, within AOI</v>
      </c>
      <c r="G30" s="32" t="s">
        <v>687</v>
      </c>
      <c r="H30" s="32" t="str">
        <f t="shared" si="1"/>
        <v>AGKFFACT</v>
      </c>
      <c r="I30" s="32" t="str">
        <f>INDEX(Active!J:J, MATCH(Spearmans2!H30, Active!F:F,0),1)</f>
        <v>Ag Soil Erodibility Kf Factor</v>
      </c>
      <c r="J30" s="32" t="str">
        <f>INDEX(Active!B:B, MATCH(Spearmans2!H30, Active!F:F,0),1)</f>
        <v>Anthropogenic</v>
      </c>
      <c r="K30" s="32" t="str">
        <f>INDEX(Active!K:K, MATCH(Spearmans2!H30,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30" s="33">
        <v>0.98243648282989948</v>
      </c>
    </row>
    <row r="31" spans="1:12" s="34" customFormat="1" x14ac:dyDescent="0.3">
      <c r="A31" s="30" t="s">
        <v>693</v>
      </c>
      <c r="B31" s="31" t="str">
        <f t="shared" si="0"/>
        <v>CBNF</v>
      </c>
      <c r="C31" s="31" t="str">
        <f>INDEX(Active!J:J, MATCH(Spearmans2!B31, Active!F:F,0),1)</f>
        <v>Cultivated Biological Nitrogen Fixation Mean Rate</v>
      </c>
      <c r="D31" s="31" t="str">
        <f>INDEX(Active!B:B, MATCH(Spearmans2!B31, Active!F:F,0),1)</f>
        <v>Anthropogenic</v>
      </c>
      <c r="E31" s="31" t="str">
        <f>INDEX(Active!D:D, MATCH(Spearmans2!B31, Active!F:F,0),1)</f>
        <v>Agriculture</v>
      </c>
      <c r="F31" s="31" t="str">
        <f>INDEX(Active!K:K, MATCH(Spearmans2!B31, Active!F:F,0),1)</f>
        <v>Mean rate of biological nitrogen fixation from the cultivation of crops in kg N/ha/yr, within AOI</v>
      </c>
      <c r="G31" s="32" t="s">
        <v>701</v>
      </c>
      <c r="H31" s="32" t="str">
        <f t="shared" si="1"/>
        <v>FERT</v>
      </c>
      <c r="I31" s="32" t="str">
        <f>INDEX(Active!J:J, MATCH(Spearmans2!H31, Active!F:F,0),1)</f>
        <v>Synthetic Nitrogen Fertilizer Application Mean Rate</v>
      </c>
      <c r="J31" s="32" t="str">
        <f>INDEX(Active!B:B, MATCH(Spearmans2!H31, Active!F:F,0),1)</f>
        <v>Anthropogenic</v>
      </c>
      <c r="K31" s="32" t="str">
        <f>INDEX(Active!K:K, MATCH(Spearmans2!H31, Active!F:F,0),1)</f>
        <v>Mean rate of synthetic nitrogen fertilizer application to agricultural land in kg N/ha/yr, within the AOI</v>
      </c>
      <c r="L31" s="33">
        <v>0.99080287551384416</v>
      </c>
    </row>
    <row r="32" spans="1:12" s="34" customFormat="1" x14ac:dyDescent="0.3">
      <c r="A32" s="30" t="s">
        <v>693</v>
      </c>
      <c r="B32" s="31" t="str">
        <f t="shared" si="0"/>
        <v>CBNF</v>
      </c>
      <c r="C32" s="31" t="str">
        <f>INDEX(Active!J:J, MATCH(Spearmans2!B32, Active!F:F,0),1)</f>
        <v>Cultivated Biological Nitrogen Fixation Mean Rate</v>
      </c>
      <c r="D32" s="31" t="str">
        <f>INDEX(Active!B:B, MATCH(Spearmans2!B32, Active!F:F,0),1)</f>
        <v>Anthropogenic</v>
      </c>
      <c r="E32" s="31" t="str">
        <f>INDEX(Active!D:D, MATCH(Spearmans2!B32, Active!F:F,0),1)</f>
        <v>Agriculture</v>
      </c>
      <c r="F32" s="31" t="str">
        <f>INDEX(Active!K:K, MATCH(Spearmans2!B32, Active!F:F,0),1)</f>
        <v>Mean rate of biological nitrogen fixation from the cultivation of crops in kg N/ha/yr, within AOI</v>
      </c>
      <c r="G32" s="32" t="s">
        <v>705</v>
      </c>
      <c r="H32" s="32" t="str">
        <f t="shared" si="1"/>
        <v>MANURE</v>
      </c>
      <c r="I32" s="32" t="str">
        <f>INDEX(Active!J:J, MATCH(Spearmans2!H32, Active!F:F,0),1)</f>
        <v>Mean Manure Application Rate</v>
      </c>
      <c r="J32" s="32" t="str">
        <f>INDEX(Active!B:B, MATCH(Spearmans2!H32, Active!F:F,0),1)</f>
        <v>Anthropogenic</v>
      </c>
      <c r="K32" s="32" t="str">
        <f>INDEX(Active!K:K, MATCH(Spearmans2!H32, Active!F:F,0),1)</f>
        <v>Mean rate of manure application to agricultural land from confined animal feeding operations in kg N/ha/yr, within AOI</v>
      </c>
      <c r="L32" s="33">
        <v>0.88529682187094005</v>
      </c>
    </row>
    <row r="33" spans="1:12" s="34" customFormat="1" x14ac:dyDescent="0.3">
      <c r="A33" s="30" t="s">
        <v>693</v>
      </c>
      <c r="B33" s="31" t="str">
        <f t="shared" si="0"/>
        <v>CBNF</v>
      </c>
      <c r="C33" s="31" t="str">
        <f>INDEX(Active!J:J, MATCH(Spearmans2!B33, Active!F:F,0),1)</f>
        <v>Cultivated Biological Nitrogen Fixation Mean Rate</v>
      </c>
      <c r="D33" s="31" t="str">
        <f>INDEX(Active!B:B, MATCH(Spearmans2!B33, Active!F:F,0),1)</f>
        <v>Anthropogenic</v>
      </c>
      <c r="E33" s="31" t="str">
        <f>INDEX(Active!D:D, MATCH(Spearmans2!B33, Active!F:F,0),1)</f>
        <v>Agriculture</v>
      </c>
      <c r="F33" s="31" t="str">
        <f>INDEX(Active!K:K, MATCH(Spearmans2!B33, Active!F:F,0),1)</f>
        <v>Mean rate of biological nitrogen fixation from the cultivation of crops in kg N/ha/yr, within AOI</v>
      </c>
      <c r="G33" s="32" t="s">
        <v>755</v>
      </c>
      <c r="H33" s="32" t="str">
        <f t="shared" si="1"/>
        <v>WATERINPUT</v>
      </c>
      <c r="I33" s="32" t="str">
        <f>INDEX(Active!J:J, MATCH(Spearmans2!H33, Active!F:F,0),1)</f>
        <v>Water Input</v>
      </c>
      <c r="J33" s="32" t="str">
        <f>INDEX(Active!B:B, MATCH(Spearmans2!H33, Active!F:F,0),1)</f>
        <v>Anthropogenic</v>
      </c>
      <c r="K33" s="32" t="str">
        <f>INDEX(Active!K:K, MATCH(Spearmans2!H33, Active!F:F,0),1)</f>
        <v>Water Input (km2/cm): Ratio of the total area of irrigated land to precipitation within AOI</v>
      </c>
      <c r="L33" s="33">
        <v>0.95061367905320326</v>
      </c>
    </row>
    <row r="34" spans="1:12" s="34" customFormat="1" x14ac:dyDescent="0.3">
      <c r="A34" s="30" t="s">
        <v>693</v>
      </c>
      <c r="B34" s="31" t="str">
        <f t="shared" si="0"/>
        <v>CBNF</v>
      </c>
      <c r="C34" s="31" t="str">
        <f>INDEX(Active!J:J, MATCH(Spearmans2!B34, Active!F:F,0),1)</f>
        <v>Cultivated Biological Nitrogen Fixation Mean Rate</v>
      </c>
      <c r="D34" s="31" t="str">
        <f>INDEX(Active!B:B, MATCH(Spearmans2!B34, Active!F:F,0),1)</f>
        <v>Anthropogenic</v>
      </c>
      <c r="E34" s="31" t="str">
        <f>INDEX(Active!D:D, MATCH(Spearmans2!B34, Active!F:F,0),1)</f>
        <v>Agriculture</v>
      </c>
      <c r="F34" s="31" t="str">
        <f>INDEX(Active!K:K, MATCH(Spearmans2!B34, Active!F:F,0),1)</f>
        <v>Mean rate of biological nitrogen fixation from the cultivation of crops in kg N/ha/yr, within AOI</v>
      </c>
      <c r="G34" s="32" t="s">
        <v>756</v>
      </c>
      <c r="H34" s="32" t="str">
        <f t="shared" si="1"/>
        <v>WDRW_LD</v>
      </c>
      <c r="I34" s="32" t="str">
        <f>INDEX(Active!J:J, MATCH(Spearmans2!H34, Active!F:F,0),1)</f>
        <v>Agricultural Fresh Surface-Water Withdraw</v>
      </c>
      <c r="J34" s="32" t="str">
        <f>INDEX(Active!B:B, MATCH(Spearmans2!H34, Active!F:F,0),1)</f>
        <v>Anthropogenic</v>
      </c>
      <c r="K34" s="32" t="str">
        <f>INDEX(Active!K:K, MATCH(Spearmans2!H34, Active!F:F,0),1)</f>
        <v>Total fresh surface-water withdrawals in agricultural land per AOI area (L/day)</v>
      </c>
      <c r="L34" s="33">
        <v>0.95051879020286334</v>
      </c>
    </row>
    <row r="35" spans="1:12" s="56" customFormat="1" x14ac:dyDescent="0.3">
      <c r="A35" s="52" t="s">
        <v>694</v>
      </c>
      <c r="B35" s="53" t="str">
        <f t="shared" si="0"/>
        <v>CLAY</v>
      </c>
      <c r="C35" s="53" t="str">
        <f>INDEX(Active!J:J, MATCH(Spearmans2!B35, Active!F:F,0),1)</f>
        <v>Clay Mean</v>
      </c>
      <c r="D35" s="53" t="str">
        <f>INDEX(Active!B:B, MATCH(Spearmans2!B35, Active!F:F,0),1)</f>
        <v>Natural</v>
      </c>
      <c r="E35" s="53" t="str">
        <f>INDEX(Active!D:D, MATCH(Spearmans2!B35, Active!F:F,0),1)</f>
        <v>Lithology</v>
      </c>
      <c r="F35" s="53" t="str">
        <f>INDEX(Active!K:K, MATCH(Spearmans2!B35, Active!F:F,0),1)</f>
        <v>Mean % clay content of soils (STATSGO) within AOI</v>
      </c>
      <c r="G35" s="54" t="s">
        <v>736</v>
      </c>
      <c r="H35" s="54" t="str">
        <f t="shared" si="1"/>
        <v>PERM</v>
      </c>
      <c r="I35" s="54" t="str">
        <f>INDEX(Active!J:J, MATCH(Spearmans2!H35, Active!F:F,0),1)</f>
        <v>Mean Permeability</v>
      </c>
      <c r="J35" s="54" t="str">
        <f>INDEX(Active!B:B, MATCH(Spearmans2!H35, Active!F:F,0),1)</f>
        <v>Natural</v>
      </c>
      <c r="K35" s="54" t="str">
        <f>INDEX(Active!K:K, MATCH(Spearmans2!H35, Active!F:F,0),1)</f>
        <v>Mean permeability (cm/hour) of soils (STATSGO) within AOI</v>
      </c>
      <c r="L35" s="55">
        <v>-0.81356922588513803</v>
      </c>
    </row>
    <row r="36" spans="1:12" s="34" customFormat="1" x14ac:dyDescent="0.3">
      <c r="A36" s="30" t="s">
        <v>695</v>
      </c>
      <c r="B36" s="31" t="str">
        <f t="shared" si="0"/>
        <v>DAMDENS</v>
      </c>
      <c r="C36" s="31" t="str">
        <f>INDEX(Active!J:J, MATCH(Spearmans2!B36, Active!F:F,0),1)</f>
        <v>Dam Density</v>
      </c>
      <c r="D36" s="31" t="str">
        <f>INDEX(Active!B:B, MATCH(Spearmans2!B36, Active!F:F,0),1)</f>
        <v>Anthropogenic</v>
      </c>
      <c r="E36" s="31" t="str">
        <f>INDEX(Active!D:D, MATCH(Spearmans2!B36, Active!F:F,0),1)</f>
        <v>Dams</v>
      </c>
      <c r="F36" s="31" t="str">
        <f>INDEX(Active!K:K, MATCH(Spearmans2!B36, Active!F:F,0),1)</f>
        <v>Density of georeferenced dams within AOI (dams/ square km)</v>
      </c>
      <c r="G36" s="32" t="s">
        <v>696</v>
      </c>
      <c r="H36" s="32" t="str">
        <f t="shared" si="1"/>
        <v>DAMNIDSTOR</v>
      </c>
      <c r="I36" s="32" t="str">
        <f>INDEX(Active!J:J, MATCH(Spearmans2!H36, Active!F:F,0),1)</f>
        <v>Dam Resevoir NID Volume</v>
      </c>
      <c r="J36" s="32" t="str">
        <f>INDEX(Active!B:B, MATCH(Spearmans2!H36, Active!F:F,0),1)</f>
        <v>Anthropogenic</v>
      </c>
      <c r="K36" s="32" t="str">
        <f>INDEX(Active!K:K, MATCH(Spearmans2!H36, Active!F:F,0),1)</f>
        <v>Volume all reservoirs (NID_STORA in NID) per unit area of AOI (cubic meters/square km)</v>
      </c>
      <c r="L36" s="33">
        <v>0.99502196096846796</v>
      </c>
    </row>
    <row r="37" spans="1:12" s="34" customFormat="1" x14ac:dyDescent="0.3">
      <c r="A37" s="30" t="s">
        <v>695</v>
      </c>
      <c r="B37" s="31" t="str">
        <f t="shared" si="0"/>
        <v>DAMDENS</v>
      </c>
      <c r="C37" s="31" t="str">
        <f>INDEX(Active!J:J, MATCH(Spearmans2!B37, Active!F:F,0),1)</f>
        <v>Dam Density</v>
      </c>
      <c r="D37" s="31" t="str">
        <f>INDEX(Active!B:B, MATCH(Spearmans2!B37, Active!F:F,0),1)</f>
        <v>Anthropogenic</v>
      </c>
      <c r="E37" s="31" t="str">
        <f>INDEX(Active!D:D, MATCH(Spearmans2!B37, Active!F:F,0),1)</f>
        <v>Dams</v>
      </c>
      <c r="F37" s="31" t="str">
        <f>INDEX(Active!K:K, MATCH(Spearmans2!B37, Active!F:F,0),1)</f>
        <v>Density of georeferenced dams within AOI (dams/ square km)</v>
      </c>
      <c r="G37" s="32" t="s">
        <v>697</v>
      </c>
      <c r="H37" s="32" t="str">
        <f t="shared" si="1"/>
        <v>DAMNRMSTOR</v>
      </c>
      <c r="I37" s="32" t="str">
        <f>INDEX(Active!J:J, MATCH(Spearmans2!H37, Active!F:F,0),1)</f>
        <v>Dam Resevoir Normal Volume</v>
      </c>
      <c r="J37" s="32" t="str">
        <f>INDEX(Active!B:B, MATCH(Spearmans2!H37, Active!F:F,0),1)</f>
        <v>Anthropogenic</v>
      </c>
      <c r="K37" s="32" t="str">
        <f>INDEX(Active!K:K, MATCH(Spearmans2!H37, Active!F:F,0),1)</f>
        <v>Volume all reservoirs (NORM_STORA in NID) per unit area of AOI (cubic meters/square km)</v>
      </c>
      <c r="L37" s="33">
        <v>0.99507760216420127</v>
      </c>
    </row>
    <row r="38" spans="1:12" s="34" customFormat="1" x14ac:dyDescent="0.3">
      <c r="A38" s="30" t="s">
        <v>695</v>
      </c>
      <c r="B38" s="31" t="str">
        <f t="shared" si="0"/>
        <v>DAMDENS</v>
      </c>
      <c r="C38" s="31" t="str">
        <f>INDEX(Active!J:J, MATCH(Spearmans2!B38, Active!F:F,0),1)</f>
        <v>Dam Density</v>
      </c>
      <c r="D38" s="31" t="str">
        <f>INDEX(Active!B:B, MATCH(Spearmans2!B38, Active!F:F,0),1)</f>
        <v>Anthropogenic</v>
      </c>
      <c r="E38" s="31" t="str">
        <f>INDEX(Active!D:D, MATCH(Spearmans2!B38, Active!F:F,0),1)</f>
        <v>Dams</v>
      </c>
      <c r="F38" s="31" t="str">
        <f>INDEX(Active!K:K, MATCH(Spearmans2!B38, Active!F:F,0),1)</f>
        <v>Density of georeferenced dams within AOI (dams/ square km)</v>
      </c>
      <c r="G38" s="32" t="s">
        <v>710</v>
      </c>
      <c r="H38" s="32" t="str">
        <f t="shared" si="1"/>
        <v>NABD_DENS</v>
      </c>
      <c r="I38" s="32" t="str">
        <f>INDEX(Active!J:J, MATCH(Spearmans2!H38, Active!F:F,0),1)</f>
        <v>NABD Dam Density</v>
      </c>
      <c r="J38" s="32" t="str">
        <f>INDEX(Active!B:B, MATCH(Spearmans2!H38, Active!F:F,0),1)</f>
        <v>Anthropogenic</v>
      </c>
      <c r="K38" s="32" t="str">
        <f>INDEX(Active!K:K, MATCH(Spearmans2!H38, Active!F:F,0),1)</f>
        <v>Density of georeferenced dams within AOI (dams/ square km)</v>
      </c>
      <c r="L38" s="33">
        <v>0.81013500424220664</v>
      </c>
    </row>
    <row r="39" spans="1:12" s="34" customFormat="1" x14ac:dyDescent="0.3">
      <c r="A39" s="30" t="s">
        <v>695</v>
      </c>
      <c r="B39" s="31" t="str">
        <f t="shared" si="0"/>
        <v>DAMDENS</v>
      </c>
      <c r="C39" s="31" t="str">
        <f>INDEX(Active!J:J, MATCH(Spearmans2!B39, Active!F:F,0),1)</f>
        <v>Dam Density</v>
      </c>
      <c r="D39" s="31" t="str">
        <f>INDEX(Active!B:B, MATCH(Spearmans2!B39, Active!F:F,0),1)</f>
        <v>Anthropogenic</v>
      </c>
      <c r="E39" s="31" t="str">
        <f>INDEX(Active!D:D, MATCH(Spearmans2!B39, Active!F:F,0),1)</f>
        <v>Dams</v>
      </c>
      <c r="F39" s="31" t="str">
        <f>INDEX(Active!K:K, MATCH(Spearmans2!B39, Active!F:F,0),1)</f>
        <v>Density of georeferenced dams within AOI (dams/ square km)</v>
      </c>
      <c r="G39" s="32" t="s">
        <v>711</v>
      </c>
      <c r="H39" s="32" t="str">
        <f t="shared" si="1"/>
        <v>NABD_NIDSTOR</v>
      </c>
      <c r="I39" s="32" t="str">
        <f>INDEX(Active!J:J, MATCH(Spearmans2!H39, Active!F:F,0),1)</f>
        <v>NABD NID Reservoir Volume</v>
      </c>
      <c r="J39" s="32" t="str">
        <f>INDEX(Active!B:B, MATCH(Spearmans2!H39, Active!F:F,0),1)</f>
        <v>Anthropogenic</v>
      </c>
      <c r="K39" s="32" t="str">
        <f>INDEX(Active!K:K, MATCH(Spearmans2!H39, Active!F:F,0),1)</f>
        <v>Volume all reservoirs (NID_STORA in NID) per unit area of AOI (cubic meters/square km)</v>
      </c>
      <c r="L39" s="33">
        <v>0.80774202676965878</v>
      </c>
    </row>
    <row r="40" spans="1:12" s="34" customFormat="1" x14ac:dyDescent="0.3">
      <c r="A40" s="30" t="s">
        <v>695</v>
      </c>
      <c r="B40" s="31" t="str">
        <f t="shared" si="0"/>
        <v>DAMDENS</v>
      </c>
      <c r="C40" s="31" t="str">
        <f>INDEX(Active!J:J, MATCH(Spearmans2!B40, Active!F:F,0),1)</f>
        <v>Dam Density</v>
      </c>
      <c r="D40" s="31" t="str">
        <f>INDEX(Active!B:B, MATCH(Spearmans2!B40, Active!F:F,0),1)</f>
        <v>Anthropogenic</v>
      </c>
      <c r="E40" s="31" t="str">
        <f>INDEX(Active!D:D, MATCH(Spearmans2!B40, Active!F:F,0),1)</f>
        <v>Dams</v>
      </c>
      <c r="F40" s="31" t="str">
        <f>INDEX(Active!K:K, MATCH(Spearmans2!B40, Active!F:F,0),1)</f>
        <v>Density of georeferenced dams within AOI (dams/ square km)</v>
      </c>
      <c r="G40" s="32" t="s">
        <v>712</v>
      </c>
      <c r="H40" s="32" t="str">
        <f t="shared" si="1"/>
        <v>NABD_NRMSTOR</v>
      </c>
      <c r="I40" s="32" t="str">
        <f>INDEX(Active!J:J, MATCH(Spearmans2!H40, Active!F:F,0),1)</f>
        <v>NABD Normal Reservoir Volume</v>
      </c>
      <c r="J40" s="32" t="str">
        <f>INDEX(Active!B:B, MATCH(Spearmans2!H40, Active!F:F,0),1)</f>
        <v>Anthropogenic</v>
      </c>
      <c r="K40" s="32" t="str">
        <f>INDEX(Active!K:K, MATCH(Spearmans2!H40, Active!F:F,0),1)</f>
        <v>Volume all reservoirs (NORM_STORA in NID) per unit area of AOI (cubic meters/square km)</v>
      </c>
      <c r="L40" s="33">
        <v>0.80759224348336511</v>
      </c>
    </row>
    <row r="41" spans="1:12" s="29" customFormat="1" x14ac:dyDescent="0.3">
      <c r="A41" s="25" t="s">
        <v>696</v>
      </c>
      <c r="B41" s="26" t="str">
        <f t="shared" si="0"/>
        <v>DAMNIDSTOR</v>
      </c>
      <c r="C41" s="26" t="str">
        <f>INDEX(Active!J:J, MATCH(Spearmans2!B41, Active!F:F,0),1)</f>
        <v>Dam Resevoir NID Volume</v>
      </c>
      <c r="D41" s="26" t="str">
        <f>INDEX(Active!B:B, MATCH(Spearmans2!B41, Active!F:F,0),1)</f>
        <v>Anthropogenic</v>
      </c>
      <c r="E41" s="26" t="str">
        <f>INDEX(Active!D:D, MATCH(Spearmans2!B41, Active!F:F,0),1)</f>
        <v>Dams</v>
      </c>
      <c r="F41" s="26" t="str">
        <f>INDEX(Active!K:K, MATCH(Spearmans2!B41, Active!F:F,0),1)</f>
        <v>Volume all reservoirs (NID_STORA in NID) per unit area of AOI (cubic meters/square km)</v>
      </c>
      <c r="G41" s="27" t="s">
        <v>695</v>
      </c>
      <c r="H41" s="27" t="str">
        <f t="shared" si="1"/>
        <v>DAMDENS</v>
      </c>
      <c r="I41" s="27" t="str">
        <f>INDEX(Active!J:J, MATCH(Spearmans2!H41, Active!F:F,0),1)</f>
        <v>Dam Density</v>
      </c>
      <c r="J41" s="27" t="str">
        <f>INDEX(Active!B:B, MATCH(Spearmans2!H41, Active!F:F,0),1)</f>
        <v>Anthropogenic</v>
      </c>
      <c r="K41" s="27" t="str">
        <f>INDEX(Active!K:K, MATCH(Spearmans2!H41, Active!F:F,0),1)</f>
        <v>Density of georeferenced dams within AOI (dams/ square km)</v>
      </c>
      <c r="L41" s="28">
        <v>0.99502196096846796</v>
      </c>
    </row>
    <row r="42" spans="1:12" s="34" customFormat="1" x14ac:dyDescent="0.3">
      <c r="A42" s="30" t="s">
        <v>696</v>
      </c>
      <c r="B42" s="31" t="str">
        <f t="shared" si="0"/>
        <v>DAMNIDSTOR</v>
      </c>
      <c r="C42" s="31" t="str">
        <f>INDEX(Active!J:J, MATCH(Spearmans2!B42, Active!F:F,0),1)</f>
        <v>Dam Resevoir NID Volume</v>
      </c>
      <c r="D42" s="31" t="str">
        <f>INDEX(Active!B:B, MATCH(Spearmans2!B42, Active!F:F,0),1)</f>
        <v>Anthropogenic</v>
      </c>
      <c r="E42" s="31" t="str">
        <f>INDEX(Active!D:D, MATCH(Spearmans2!B42, Active!F:F,0),1)</f>
        <v>Dams</v>
      </c>
      <c r="F42" s="31" t="str">
        <f>INDEX(Active!K:K, MATCH(Spearmans2!B42, Active!F:F,0),1)</f>
        <v>Volume all reservoirs (NID_STORA in NID) per unit area of AOI (cubic meters/square km)</v>
      </c>
      <c r="G42" s="32" t="s">
        <v>697</v>
      </c>
      <c r="H42" s="32" t="str">
        <f t="shared" si="1"/>
        <v>DAMNRMSTOR</v>
      </c>
      <c r="I42" s="32" t="str">
        <f>INDEX(Active!J:J, MATCH(Spearmans2!H42, Active!F:F,0),1)</f>
        <v>Dam Resevoir Normal Volume</v>
      </c>
      <c r="J42" s="32" t="str">
        <f>INDEX(Active!B:B, MATCH(Spearmans2!H42, Active!F:F,0),1)</f>
        <v>Anthropogenic</v>
      </c>
      <c r="K42" s="32" t="str">
        <f>INDEX(Active!K:K, MATCH(Spearmans2!H42, Active!F:F,0),1)</f>
        <v>Volume all reservoirs (NORM_STORA in NID) per unit area of AOI (cubic meters/square km)</v>
      </c>
      <c r="L42" s="33">
        <v>0.99995416994376218</v>
      </c>
    </row>
    <row r="43" spans="1:12" s="34" customFormat="1" x14ac:dyDescent="0.3">
      <c r="A43" s="30" t="s">
        <v>696</v>
      </c>
      <c r="B43" s="31" t="str">
        <f t="shared" si="0"/>
        <v>DAMNIDSTOR</v>
      </c>
      <c r="C43" s="31" t="str">
        <f>INDEX(Active!J:J, MATCH(Spearmans2!B43, Active!F:F,0),1)</f>
        <v>Dam Resevoir NID Volume</v>
      </c>
      <c r="D43" s="31" t="str">
        <f>INDEX(Active!B:B, MATCH(Spearmans2!B43, Active!F:F,0),1)</f>
        <v>Anthropogenic</v>
      </c>
      <c r="E43" s="31" t="str">
        <f>INDEX(Active!D:D, MATCH(Spearmans2!B43, Active!F:F,0),1)</f>
        <v>Dams</v>
      </c>
      <c r="F43" s="31" t="str">
        <f>INDEX(Active!K:K, MATCH(Spearmans2!B43, Active!F:F,0),1)</f>
        <v>Volume all reservoirs (NID_STORA in NID) per unit area of AOI (cubic meters/square km)</v>
      </c>
      <c r="G43" s="32" t="s">
        <v>710</v>
      </c>
      <c r="H43" s="32" t="str">
        <f t="shared" si="1"/>
        <v>NABD_DENS</v>
      </c>
      <c r="I43" s="32" t="str">
        <f>INDEX(Active!J:J, MATCH(Spearmans2!H43, Active!F:F,0),1)</f>
        <v>NABD Dam Density</v>
      </c>
      <c r="J43" s="32" t="str">
        <f>INDEX(Active!B:B, MATCH(Spearmans2!H43, Active!F:F,0),1)</f>
        <v>Anthropogenic</v>
      </c>
      <c r="K43" s="32" t="str">
        <f>INDEX(Active!K:K, MATCH(Spearmans2!H43, Active!F:F,0),1)</f>
        <v>Density of georeferenced dams within AOI (dams/ square km)</v>
      </c>
      <c r="L43" s="33">
        <v>0.82808796983897381</v>
      </c>
    </row>
    <row r="44" spans="1:12" s="34" customFormat="1" x14ac:dyDescent="0.3">
      <c r="A44" s="30" t="s">
        <v>696</v>
      </c>
      <c r="B44" s="31" t="str">
        <f t="shared" si="0"/>
        <v>DAMNIDSTOR</v>
      </c>
      <c r="C44" s="31" t="str">
        <f>INDEX(Active!J:J, MATCH(Spearmans2!B44, Active!F:F,0),1)</f>
        <v>Dam Resevoir NID Volume</v>
      </c>
      <c r="D44" s="31" t="str">
        <f>INDEX(Active!B:B, MATCH(Spearmans2!B44, Active!F:F,0),1)</f>
        <v>Anthropogenic</v>
      </c>
      <c r="E44" s="31" t="str">
        <f>INDEX(Active!D:D, MATCH(Spearmans2!B44, Active!F:F,0),1)</f>
        <v>Dams</v>
      </c>
      <c r="F44" s="31" t="str">
        <f>INDEX(Active!K:K, MATCH(Spearmans2!B44, Active!F:F,0),1)</f>
        <v>Volume all reservoirs (NID_STORA in NID) per unit area of AOI (cubic meters/square km)</v>
      </c>
      <c r="G44" s="32" t="s">
        <v>711</v>
      </c>
      <c r="H44" s="32" t="str">
        <f t="shared" si="1"/>
        <v>NABD_NIDSTOR</v>
      </c>
      <c r="I44" s="32" t="str">
        <f>INDEX(Active!J:J, MATCH(Spearmans2!H44, Active!F:F,0),1)</f>
        <v>NABD NID Reservoir Volume</v>
      </c>
      <c r="J44" s="32" t="str">
        <f>INDEX(Active!B:B, MATCH(Spearmans2!H44, Active!F:F,0),1)</f>
        <v>Anthropogenic</v>
      </c>
      <c r="K44" s="32" t="str">
        <f>INDEX(Active!K:K, MATCH(Spearmans2!H44, Active!F:F,0),1)</f>
        <v>Volume all reservoirs (NID_STORA in NID) per unit area of AOI (cubic meters/square km)</v>
      </c>
      <c r="L44" s="33">
        <v>0.8307710497347579</v>
      </c>
    </row>
    <row r="45" spans="1:12" s="39" customFormat="1" x14ac:dyDescent="0.3">
      <c r="A45" s="35" t="s">
        <v>696</v>
      </c>
      <c r="B45" s="36" t="str">
        <f t="shared" si="0"/>
        <v>DAMNIDSTOR</v>
      </c>
      <c r="C45" s="36" t="str">
        <f>INDEX(Active!J:J, MATCH(Spearmans2!B45, Active!F:F,0),1)</f>
        <v>Dam Resevoir NID Volume</v>
      </c>
      <c r="D45" s="36" t="str">
        <f>INDEX(Active!B:B, MATCH(Spearmans2!B45, Active!F:F,0),1)</f>
        <v>Anthropogenic</v>
      </c>
      <c r="E45" s="36" t="str">
        <f>INDEX(Active!D:D, MATCH(Spearmans2!B45, Active!F:F,0),1)</f>
        <v>Dams</v>
      </c>
      <c r="F45" s="36" t="str">
        <f>INDEX(Active!K:K, MATCH(Spearmans2!B45, Active!F:F,0),1)</f>
        <v>Volume all reservoirs (NID_STORA in NID) per unit area of AOI (cubic meters/square km)</v>
      </c>
      <c r="G45" s="37" t="s">
        <v>712</v>
      </c>
      <c r="H45" s="37" t="str">
        <f t="shared" si="1"/>
        <v>NABD_NRMSTOR</v>
      </c>
      <c r="I45" s="37" t="str">
        <f>INDEX(Active!J:J, MATCH(Spearmans2!H45, Active!F:F,0),1)</f>
        <v>NABD Normal Reservoir Volume</v>
      </c>
      <c r="J45" s="37" t="str">
        <f>INDEX(Active!B:B, MATCH(Spearmans2!H45, Active!F:F,0),1)</f>
        <v>Anthropogenic</v>
      </c>
      <c r="K45" s="37" t="str">
        <f>INDEX(Active!K:K, MATCH(Spearmans2!H45, Active!F:F,0),1)</f>
        <v>Volume all reservoirs (NORM_STORA in NID) per unit area of AOI (cubic meters/square km)</v>
      </c>
      <c r="L45" s="38">
        <v>0.83056565011885208</v>
      </c>
    </row>
    <row r="46" spans="1:12" s="34" customFormat="1" x14ac:dyDescent="0.3">
      <c r="A46" s="30" t="s">
        <v>697</v>
      </c>
      <c r="B46" s="31" t="str">
        <f t="shared" si="0"/>
        <v>DAMNRMSTOR</v>
      </c>
      <c r="C46" s="31" t="str">
        <f>INDEX(Active!J:J, MATCH(Spearmans2!B46, Active!F:F,0),1)</f>
        <v>Dam Resevoir Normal Volume</v>
      </c>
      <c r="D46" s="31" t="str">
        <f>INDEX(Active!B:B, MATCH(Spearmans2!B46, Active!F:F,0),1)</f>
        <v>Anthropogenic</v>
      </c>
      <c r="E46" s="31" t="str">
        <f>INDEX(Active!D:D, MATCH(Spearmans2!B46, Active!F:F,0),1)</f>
        <v>Dams</v>
      </c>
      <c r="F46" s="31" t="str">
        <f>INDEX(Active!K:K, MATCH(Spearmans2!B46, Active!F:F,0),1)</f>
        <v>Volume all reservoirs (NORM_STORA in NID) per unit area of AOI (cubic meters/square km)</v>
      </c>
      <c r="G46" s="32" t="s">
        <v>695</v>
      </c>
      <c r="H46" s="32" t="str">
        <f t="shared" si="1"/>
        <v>DAMDENS</v>
      </c>
      <c r="I46" s="32" t="str">
        <f>INDEX(Active!J:J, MATCH(Spearmans2!H46, Active!F:F,0),1)</f>
        <v>Dam Density</v>
      </c>
      <c r="J46" s="32" t="str">
        <f>INDEX(Active!B:B, MATCH(Spearmans2!H46, Active!F:F,0),1)</f>
        <v>Anthropogenic</v>
      </c>
      <c r="K46" s="32" t="str">
        <f>INDEX(Active!K:K, MATCH(Spearmans2!H46, Active!F:F,0),1)</f>
        <v>Density of georeferenced dams within AOI (dams/ square km)</v>
      </c>
      <c r="L46" s="33">
        <v>0.99507760216420127</v>
      </c>
    </row>
    <row r="47" spans="1:12" s="34" customFormat="1" x14ac:dyDescent="0.3">
      <c r="A47" s="30" t="s">
        <v>697</v>
      </c>
      <c r="B47" s="31" t="str">
        <f t="shared" si="0"/>
        <v>DAMNRMSTOR</v>
      </c>
      <c r="C47" s="31" t="str">
        <f>INDEX(Active!J:J, MATCH(Spearmans2!B47, Active!F:F,0),1)</f>
        <v>Dam Resevoir Normal Volume</v>
      </c>
      <c r="D47" s="31" t="str">
        <f>INDEX(Active!B:B, MATCH(Spearmans2!B47, Active!F:F,0),1)</f>
        <v>Anthropogenic</v>
      </c>
      <c r="E47" s="31" t="str">
        <f>INDEX(Active!D:D, MATCH(Spearmans2!B47, Active!F:F,0),1)</f>
        <v>Dams</v>
      </c>
      <c r="F47" s="31" t="str">
        <f>INDEX(Active!K:K, MATCH(Spearmans2!B47, Active!F:F,0),1)</f>
        <v>Volume all reservoirs (NORM_STORA in NID) per unit area of AOI (cubic meters/square km)</v>
      </c>
      <c r="G47" s="32" t="s">
        <v>696</v>
      </c>
      <c r="H47" s="32" t="str">
        <f t="shared" si="1"/>
        <v>DAMNIDSTOR</v>
      </c>
      <c r="I47" s="32" t="str">
        <f>INDEX(Active!J:J, MATCH(Spearmans2!H47, Active!F:F,0),1)</f>
        <v>Dam Resevoir NID Volume</v>
      </c>
      <c r="J47" s="32" t="str">
        <f>INDEX(Active!B:B, MATCH(Spearmans2!H47, Active!F:F,0),1)</f>
        <v>Anthropogenic</v>
      </c>
      <c r="K47" s="32" t="str">
        <f>INDEX(Active!K:K, MATCH(Spearmans2!H47, Active!F:F,0),1)</f>
        <v>Volume all reservoirs (NID_STORA in NID) per unit area of AOI (cubic meters/square km)</v>
      </c>
      <c r="L47" s="33">
        <v>0.99995416994376218</v>
      </c>
    </row>
    <row r="48" spans="1:12" s="34" customFormat="1" x14ac:dyDescent="0.3">
      <c r="A48" s="30" t="s">
        <v>697</v>
      </c>
      <c r="B48" s="31" t="str">
        <f t="shared" si="0"/>
        <v>DAMNRMSTOR</v>
      </c>
      <c r="C48" s="31" t="str">
        <f>INDEX(Active!J:J, MATCH(Spearmans2!B48, Active!F:F,0),1)</f>
        <v>Dam Resevoir Normal Volume</v>
      </c>
      <c r="D48" s="31" t="str">
        <f>INDEX(Active!B:B, MATCH(Spearmans2!B48, Active!F:F,0),1)</f>
        <v>Anthropogenic</v>
      </c>
      <c r="E48" s="31" t="str">
        <f>INDEX(Active!D:D, MATCH(Spearmans2!B48, Active!F:F,0),1)</f>
        <v>Dams</v>
      </c>
      <c r="F48" s="31" t="str">
        <f>INDEX(Active!K:K, MATCH(Spearmans2!B48, Active!F:F,0),1)</f>
        <v>Volume all reservoirs (NORM_STORA in NID) per unit area of AOI (cubic meters/square km)</v>
      </c>
      <c r="G48" s="32" t="s">
        <v>710</v>
      </c>
      <c r="H48" s="32" t="str">
        <f t="shared" si="1"/>
        <v>NABD_DENS</v>
      </c>
      <c r="I48" s="32" t="str">
        <f>INDEX(Active!J:J, MATCH(Spearmans2!H48, Active!F:F,0),1)</f>
        <v>NABD Dam Density</v>
      </c>
      <c r="J48" s="32" t="str">
        <f>INDEX(Active!B:B, MATCH(Spearmans2!H48, Active!F:F,0),1)</f>
        <v>Anthropogenic</v>
      </c>
      <c r="K48" s="32" t="str">
        <f>INDEX(Active!K:K, MATCH(Spearmans2!H48, Active!F:F,0),1)</f>
        <v>Density of georeferenced dams within AOI (dams/ square km)</v>
      </c>
      <c r="L48" s="33">
        <v>0.82707598038444852</v>
      </c>
    </row>
    <row r="49" spans="1:12" s="34" customFormat="1" x14ac:dyDescent="0.3">
      <c r="A49" s="30" t="s">
        <v>697</v>
      </c>
      <c r="B49" s="31" t="str">
        <f t="shared" si="0"/>
        <v>DAMNRMSTOR</v>
      </c>
      <c r="C49" s="31" t="str">
        <f>INDEX(Active!J:J, MATCH(Spearmans2!B49, Active!F:F,0),1)</f>
        <v>Dam Resevoir Normal Volume</v>
      </c>
      <c r="D49" s="31" t="str">
        <f>INDEX(Active!B:B, MATCH(Spearmans2!B49, Active!F:F,0),1)</f>
        <v>Anthropogenic</v>
      </c>
      <c r="E49" s="31" t="str">
        <f>INDEX(Active!D:D, MATCH(Spearmans2!B49, Active!F:F,0),1)</f>
        <v>Dams</v>
      </c>
      <c r="F49" s="31" t="str">
        <f>INDEX(Active!K:K, MATCH(Spearmans2!B49, Active!F:F,0),1)</f>
        <v>Volume all reservoirs (NORM_STORA in NID) per unit area of AOI (cubic meters/square km)</v>
      </c>
      <c r="G49" s="32" t="s">
        <v>711</v>
      </c>
      <c r="H49" s="32" t="str">
        <f t="shared" si="1"/>
        <v>NABD_NIDSTOR</v>
      </c>
      <c r="I49" s="32" t="str">
        <f>INDEX(Active!J:J, MATCH(Spearmans2!H49, Active!F:F,0),1)</f>
        <v>NABD NID Reservoir Volume</v>
      </c>
      <c r="J49" s="32" t="str">
        <f>INDEX(Active!B:B, MATCH(Spearmans2!H49, Active!F:F,0),1)</f>
        <v>Anthropogenic</v>
      </c>
      <c r="K49" s="32" t="str">
        <f>INDEX(Active!K:K, MATCH(Spearmans2!H49, Active!F:F,0),1)</f>
        <v>Volume all reservoirs (NID_STORA in NID) per unit area of AOI (cubic meters/square km)</v>
      </c>
      <c r="L49" s="33">
        <v>0.82972119561488322</v>
      </c>
    </row>
    <row r="50" spans="1:12" s="34" customFormat="1" x14ac:dyDescent="0.3">
      <c r="A50" s="30" t="s">
        <v>697</v>
      </c>
      <c r="B50" s="31" t="str">
        <f t="shared" si="0"/>
        <v>DAMNRMSTOR</v>
      </c>
      <c r="C50" s="31" t="str">
        <f>INDEX(Active!J:J, MATCH(Spearmans2!B50, Active!F:F,0),1)</f>
        <v>Dam Resevoir Normal Volume</v>
      </c>
      <c r="D50" s="31" t="str">
        <f>INDEX(Active!B:B, MATCH(Spearmans2!B50, Active!F:F,0),1)</f>
        <v>Anthropogenic</v>
      </c>
      <c r="E50" s="31" t="str">
        <f>INDEX(Active!D:D, MATCH(Spearmans2!B50, Active!F:F,0),1)</f>
        <v>Dams</v>
      </c>
      <c r="F50" s="31" t="str">
        <f>INDEX(Active!K:K, MATCH(Spearmans2!B50, Active!F:F,0),1)</f>
        <v>Volume all reservoirs (NORM_STORA in NID) per unit area of AOI (cubic meters/square km)</v>
      </c>
      <c r="G50" s="32" t="s">
        <v>712</v>
      </c>
      <c r="H50" s="32" t="str">
        <f t="shared" si="1"/>
        <v>NABD_NRMSTOR</v>
      </c>
      <c r="I50" s="32" t="str">
        <f>INDEX(Active!J:J, MATCH(Spearmans2!H50, Active!F:F,0),1)</f>
        <v>NABD Normal Reservoir Volume</v>
      </c>
      <c r="J50" s="32" t="str">
        <f>INDEX(Active!B:B, MATCH(Spearmans2!H50, Active!F:F,0),1)</f>
        <v>Anthropogenic</v>
      </c>
      <c r="K50" s="32" t="str">
        <f>INDEX(Active!K:K, MATCH(Spearmans2!H50, Active!F:F,0),1)</f>
        <v>Volume all reservoirs (NORM_STORA in NID) per unit area of AOI (cubic meters/square km)</v>
      </c>
      <c r="L50" s="33">
        <v>0.82956135570606637</v>
      </c>
    </row>
    <row r="51" spans="1:12" s="43" customFormat="1" x14ac:dyDescent="0.3">
      <c r="A51" s="40" t="s">
        <v>698</v>
      </c>
      <c r="B51" s="40" t="str">
        <f t="shared" si="0"/>
        <v>distance</v>
      </c>
      <c r="C51" s="40" t="e">
        <f>INDEX(Active!J:J, MATCH(Spearmans2!B51, Active!F:F,0),1)</f>
        <v>#N/A</v>
      </c>
      <c r="D51" s="40" t="e">
        <f>INDEX(Active!B:B, MATCH(Spearmans2!B51, Active!F:F,0),1)</f>
        <v>#N/A</v>
      </c>
      <c r="E51" s="40" t="e">
        <f>INDEX(Active!D:D, MATCH(Spearmans2!B51, Active!F:F,0),1)</f>
        <v>#N/A</v>
      </c>
      <c r="F51" s="40" t="e">
        <f>INDEX(Active!K:K, MATCH(Spearmans2!B51, Active!F:F,0),1)</f>
        <v>#N/A</v>
      </c>
      <c r="G51" s="41" t="s">
        <v>699</v>
      </c>
      <c r="H51" s="41" t="str">
        <f t="shared" si="1"/>
        <v>ELEV</v>
      </c>
      <c r="I51" s="41" t="str">
        <f>INDEX(Active!J:J, MATCH(Spearmans2!H51, Active!F:F,0),1)</f>
        <v>Mean Elevation</v>
      </c>
      <c r="J51" s="41" t="str">
        <f>INDEX(Active!B:B, MATCH(Spearmans2!H51, Active!F:F,0),1)</f>
        <v>Natural</v>
      </c>
      <c r="K51" s="41" t="str">
        <f>INDEX(Active!K:K, MATCH(Spearmans2!H51, Active!F:F,0),1)</f>
        <v>Mean AOI elevation (m)</v>
      </c>
      <c r="L51" s="42">
        <v>0.82980353895305969</v>
      </c>
    </row>
    <row r="52" spans="1:12" s="47" customFormat="1" x14ac:dyDescent="0.3">
      <c r="A52" s="44" t="s">
        <v>698</v>
      </c>
      <c r="B52" s="44" t="str">
        <f t="shared" si="0"/>
        <v>distance</v>
      </c>
      <c r="C52" s="44" t="e">
        <f>INDEX(Active!J:J, MATCH(Spearmans2!B52, Active!F:F,0),1)</f>
        <v>#N/A</v>
      </c>
      <c r="D52" s="44" t="e">
        <f>INDEX(Active!B:B, MATCH(Spearmans2!B52, Active!F:F,0),1)</f>
        <v>#N/A</v>
      </c>
      <c r="E52" s="44" t="e">
        <f>INDEX(Active!D:D, MATCH(Spearmans2!B52, Active!F:F,0),1)</f>
        <v>#N/A</v>
      </c>
      <c r="F52" s="44" t="e">
        <f>INDEX(Active!K:K, MATCH(Spearmans2!B52, Active!F:F,0),1)</f>
        <v>#N/A</v>
      </c>
      <c r="G52" s="45" t="s">
        <v>708</v>
      </c>
      <c r="H52" s="45" t="str">
        <f t="shared" si="1"/>
        <v>MWST2008</v>
      </c>
      <c r="I52" s="45" t="str">
        <f>INDEX(Active!J:J, MATCH(Spearmans2!H52, Active!F:F,0),1)</f>
        <v>Mean Winter Stream Temp</v>
      </c>
      <c r="J52" s="45" t="str">
        <f>INDEX(Active!B:B, MATCH(Spearmans2!H52, Active!F:F,0),1)</f>
        <v>Natural</v>
      </c>
      <c r="K52" s="45" t="str">
        <f>INDEX(Active!K:K, MATCH(Spearmans2!H52, Active!F:F,0),1)</f>
        <v>Predicted mean winter stream temperature (Jan-Feb) for year 2008, 2009, 2013, 2014</v>
      </c>
      <c r="L52" s="46">
        <v>-0.80498384221074804</v>
      </c>
    </row>
    <row r="53" spans="1:12" s="47" customFormat="1" x14ac:dyDescent="0.3">
      <c r="A53" s="44" t="s">
        <v>698</v>
      </c>
      <c r="B53" s="44" t="str">
        <f t="shared" si="0"/>
        <v>distance</v>
      </c>
      <c r="C53" s="44" t="e">
        <f>INDEX(Active!J:J, MATCH(Spearmans2!B53, Active!F:F,0),1)</f>
        <v>#N/A</v>
      </c>
      <c r="D53" s="44" t="e">
        <f>INDEX(Active!B:B, MATCH(Spearmans2!B53, Active!F:F,0),1)</f>
        <v>#N/A</v>
      </c>
      <c r="E53" s="44" t="e">
        <f>INDEX(Active!D:D, MATCH(Spearmans2!B53, Active!F:F,0),1)</f>
        <v>#N/A</v>
      </c>
      <c r="F53" s="44" t="e">
        <f>INDEX(Active!K:K, MATCH(Spearmans2!B53, Active!F:F,0),1)</f>
        <v>#N/A</v>
      </c>
      <c r="G53" s="45" t="s">
        <v>730</v>
      </c>
      <c r="H53" s="45" t="str">
        <f t="shared" si="1"/>
        <v>PCTMXFST2001</v>
      </c>
      <c r="I53" s="45" t="str">
        <f>INDEX(Active!J:J, MATCH(Spearmans2!H53, Active!F:F,0),1)</f>
        <v>Mixed Deciduous/Evergreen Forest Percentage</v>
      </c>
      <c r="J53" s="45" t="str">
        <f>INDEX(Active!B:B, MATCH(Spearmans2!H53, Active!F:F,0),1)</f>
        <v>Natural</v>
      </c>
      <c r="K53" s="45" t="str">
        <f>INDEX(Active!K:K, MATCH(Spearmans2!H53, Active!F:F,0),1)</f>
        <v>% of AOI area classified as mixed deciduous/evergreen forest land cover (NLCD class 43)</v>
      </c>
      <c r="L53" s="46">
        <v>-0.84538260602506365</v>
      </c>
    </row>
    <row r="54" spans="1:12" s="47" customFormat="1" x14ac:dyDescent="0.3">
      <c r="A54" s="44" t="s">
        <v>698</v>
      </c>
      <c r="B54" s="44" t="str">
        <f t="shared" si="0"/>
        <v>distance</v>
      </c>
      <c r="C54" s="44" t="e">
        <f>INDEX(Active!J:J, MATCH(Spearmans2!B54, Active!F:F,0),1)</f>
        <v>#N/A</v>
      </c>
      <c r="D54" s="44" t="e">
        <f>INDEX(Active!B:B, MATCH(Spearmans2!B54, Active!F:F,0),1)</f>
        <v>#N/A</v>
      </c>
      <c r="E54" s="44" t="e">
        <f>INDEX(Active!D:D, MATCH(Spearmans2!B54, Active!F:F,0),1)</f>
        <v>#N/A</v>
      </c>
      <c r="F54" s="44" t="e">
        <f>INDEX(Active!K:K, MATCH(Spearmans2!B54, Active!F:F,0),1)</f>
        <v>#N/A</v>
      </c>
      <c r="G54" s="45" t="s">
        <v>753</v>
      </c>
      <c r="H54" s="45" t="str">
        <f t="shared" si="1"/>
        <v>TMIN8110</v>
      </c>
      <c r="I54" s="45" t="str">
        <f>INDEX(Active!J:J, MATCH(Spearmans2!H54, Active!F:F,0),1)</f>
        <v>30-year Average Annual Normal Minimum Air Temperature</v>
      </c>
      <c r="J54" s="45" t="str">
        <f>INDEX(Active!B:B, MATCH(Spearmans2!H54, Active!F:F,0),1)</f>
        <v>Natural</v>
      </c>
      <c r="K54" s="45" t="str">
        <f>INDEX(Active!K:K, MATCH(Spearmans2!H54, Active!F:F,0),1)</f>
        <v>PRISM climate data - 30-year normal minimum temperature (CÂ°): Annual period: 1981-2010 within the AOI</v>
      </c>
      <c r="L54" s="46">
        <v>-0.85249668223150654</v>
      </c>
    </row>
    <row r="55" spans="1:12" s="51" customFormat="1" x14ac:dyDescent="0.3">
      <c r="A55" s="48" t="s">
        <v>698</v>
      </c>
      <c r="B55" s="48" t="str">
        <f t="shared" si="0"/>
        <v>distance</v>
      </c>
      <c r="C55" s="48" t="e">
        <f>INDEX(Active!J:J, MATCH(Spearmans2!B55, Active!F:F,0),1)</f>
        <v>#N/A</v>
      </c>
      <c r="D55" s="48" t="e">
        <f>INDEX(Active!B:B, MATCH(Spearmans2!B55, Active!F:F,0),1)</f>
        <v>#N/A</v>
      </c>
      <c r="E55" s="48" t="e">
        <f>INDEX(Active!D:D, MATCH(Spearmans2!B55, Active!F:F,0),1)</f>
        <v>#N/A</v>
      </c>
      <c r="F55" s="48" t="e">
        <f>INDEX(Active!K:K, MATCH(Spearmans2!B55, Active!F:F,0),1)</f>
        <v>#N/A</v>
      </c>
      <c r="G55" s="49" t="s">
        <v>754</v>
      </c>
      <c r="H55" s="49" t="str">
        <f t="shared" si="1"/>
        <v>TMIN9120</v>
      </c>
      <c r="I55" s="49" t="str">
        <f>INDEX(Active!J:J, MATCH(Spearmans2!H55, Active!F:F,0),1)</f>
        <v>30-year Average Annual Normal Minimum Air Temperature</v>
      </c>
      <c r="J55" s="49" t="str">
        <f>INDEX(Active!B:B, MATCH(Spearmans2!H55, Active!F:F,0),1)</f>
        <v>Natural</v>
      </c>
      <c r="K55" s="49" t="str">
        <f>INDEX(Active!K:K, MATCH(Spearmans2!H55, Active!F:F,0),1)</f>
        <v>PRISM climate data - 30-year normal minimum temperature (CÂ°): Annual period: 1991-2020 within the AOI</v>
      </c>
      <c r="L55" s="50">
        <v>-0.84133044974195148</v>
      </c>
    </row>
    <row r="56" spans="1:12" s="47" customFormat="1" x14ac:dyDescent="0.3">
      <c r="A56" s="44" t="s">
        <v>699</v>
      </c>
      <c r="B56" s="44" t="str">
        <f t="shared" si="0"/>
        <v>ELEV</v>
      </c>
      <c r="C56" s="44" t="str">
        <f>INDEX(Active!J:J, MATCH(Spearmans2!B56, Active!F:F,0),1)</f>
        <v>Mean Elevation</v>
      </c>
      <c r="D56" s="44" t="str">
        <f>INDEX(Active!B:B, MATCH(Spearmans2!B56, Active!F:F,0),1)</f>
        <v>Natural</v>
      </c>
      <c r="E56" s="44" t="str">
        <f>INDEX(Active!D:D, MATCH(Spearmans2!B56, Active!F:F,0),1)</f>
        <v>Flow</v>
      </c>
      <c r="F56" s="44" t="str">
        <f>INDEX(Active!K:K, MATCH(Spearmans2!B56, Active!F:F,0),1)</f>
        <v>Mean AOI elevation (m)</v>
      </c>
      <c r="G56" s="45" t="s">
        <v>698</v>
      </c>
      <c r="H56" s="45" t="str">
        <f t="shared" si="1"/>
        <v>distance</v>
      </c>
      <c r="I56" s="45" t="e">
        <f>INDEX(Active!J:J, MATCH(Spearmans2!H56, Active!F:F,0),1)</f>
        <v>#N/A</v>
      </c>
      <c r="J56" s="45" t="e">
        <f>INDEX(Active!B:B, MATCH(Spearmans2!H56, Active!F:F,0),1)</f>
        <v>#N/A</v>
      </c>
      <c r="K56" s="45" t="e">
        <f>INDEX(Active!K:K, MATCH(Spearmans2!H56, Active!F:F,0),1)</f>
        <v>#N/A</v>
      </c>
      <c r="L56" s="46">
        <v>0.82980353895305969</v>
      </c>
    </row>
    <row r="57" spans="1:12" s="47" customFormat="1" x14ac:dyDescent="0.3">
      <c r="A57" s="44" t="s">
        <v>699</v>
      </c>
      <c r="B57" s="44" t="str">
        <f t="shared" si="0"/>
        <v>ELEV</v>
      </c>
      <c r="C57" s="44" t="str">
        <f>INDEX(Active!J:J, MATCH(Spearmans2!B57, Active!F:F,0),1)</f>
        <v>Mean Elevation</v>
      </c>
      <c r="D57" s="44" t="str">
        <f>INDEX(Active!B:B, MATCH(Spearmans2!B57, Active!F:F,0),1)</f>
        <v>Natural</v>
      </c>
      <c r="E57" s="44" t="str">
        <f>INDEX(Active!D:D, MATCH(Spearmans2!B57, Active!F:F,0),1)</f>
        <v>Flow</v>
      </c>
      <c r="F57" s="44" t="str">
        <f>INDEX(Active!K:K, MATCH(Spearmans2!B57, Active!F:F,0),1)</f>
        <v>Mean AOI elevation (m)</v>
      </c>
      <c r="G57" s="45" t="s">
        <v>708</v>
      </c>
      <c r="H57" s="45" t="str">
        <f t="shared" si="1"/>
        <v>MWST2008</v>
      </c>
      <c r="I57" s="45" t="str">
        <f>INDEX(Active!J:J, MATCH(Spearmans2!H57, Active!F:F,0),1)</f>
        <v>Mean Winter Stream Temp</v>
      </c>
      <c r="J57" s="45" t="str">
        <f>INDEX(Active!B:B, MATCH(Spearmans2!H57, Active!F:F,0),1)</f>
        <v>Natural</v>
      </c>
      <c r="K57" s="45" t="str">
        <f>INDEX(Active!K:K, MATCH(Spearmans2!H57, Active!F:F,0),1)</f>
        <v>Predicted mean winter stream temperature (Jan-Feb) for year 2008, 2009, 2013, 2014</v>
      </c>
      <c r="L57" s="46">
        <v>-0.89194035326464693</v>
      </c>
    </row>
    <row r="58" spans="1:12" s="47" customFormat="1" x14ac:dyDescent="0.3">
      <c r="A58" s="44" t="s">
        <v>699</v>
      </c>
      <c r="B58" s="44" t="str">
        <f t="shared" si="0"/>
        <v>ELEV</v>
      </c>
      <c r="C58" s="44" t="str">
        <f>INDEX(Active!J:J, MATCH(Spearmans2!B58, Active!F:F,0),1)</f>
        <v>Mean Elevation</v>
      </c>
      <c r="D58" s="44" t="str">
        <f>INDEX(Active!B:B, MATCH(Spearmans2!B58, Active!F:F,0),1)</f>
        <v>Natural</v>
      </c>
      <c r="E58" s="44" t="str">
        <f>INDEX(Active!D:D, MATCH(Spearmans2!B58, Active!F:F,0),1)</f>
        <v>Flow</v>
      </c>
      <c r="F58" s="44" t="str">
        <f>INDEX(Active!K:K, MATCH(Spearmans2!B58, Active!F:F,0),1)</f>
        <v>Mean AOI elevation (m)</v>
      </c>
      <c r="G58" s="45" t="s">
        <v>750</v>
      </c>
      <c r="H58" s="45" t="str">
        <f t="shared" si="1"/>
        <v>TMEAN2008</v>
      </c>
      <c r="I58" s="45" t="str">
        <f>INDEX(Active!J:J, MATCH(Spearmans2!H58, Active!F:F,0),1)</f>
        <v>Mean Air Temperature</v>
      </c>
      <c r="J58" s="45" t="str">
        <f>INDEX(Active!B:B, MATCH(Spearmans2!H58, Active!F:F,0),1)</f>
        <v>Natural</v>
      </c>
      <c r="K58" s="45" t="str">
        <f>INDEX(Active!K:K, MATCH(Spearmans2!H58, Active!F:F,0),1)</f>
        <v>PRISM climate data - Mean temperature (°C) within the AOI. Period: 2008 and 2009</v>
      </c>
      <c r="L58" s="46">
        <v>-0.82500172032440411</v>
      </c>
    </row>
    <row r="59" spans="1:12" s="47" customFormat="1" x14ac:dyDescent="0.3">
      <c r="A59" s="44" t="s">
        <v>699</v>
      </c>
      <c r="B59" s="44" t="str">
        <f t="shared" si="0"/>
        <v>ELEV</v>
      </c>
      <c r="C59" s="44" t="str">
        <f>INDEX(Active!J:J, MATCH(Spearmans2!B59, Active!F:F,0),1)</f>
        <v>Mean Elevation</v>
      </c>
      <c r="D59" s="44" t="str">
        <f>INDEX(Active!B:B, MATCH(Spearmans2!B59, Active!F:F,0),1)</f>
        <v>Natural</v>
      </c>
      <c r="E59" s="44" t="str">
        <f>INDEX(Active!D:D, MATCH(Spearmans2!B59, Active!F:F,0),1)</f>
        <v>Flow</v>
      </c>
      <c r="F59" s="44" t="str">
        <f>INDEX(Active!K:K, MATCH(Spearmans2!B59, Active!F:F,0),1)</f>
        <v>Mean AOI elevation (m)</v>
      </c>
      <c r="G59" s="45" t="s">
        <v>751</v>
      </c>
      <c r="H59" s="45" t="str">
        <f t="shared" si="1"/>
        <v>TMEAN8110</v>
      </c>
      <c r="I59" s="45" t="str">
        <f>INDEX(Active!J:J, MATCH(Spearmans2!H59, Active!F:F,0),1)</f>
        <v>30-year Mean Annual Air Temperature</v>
      </c>
      <c r="J59" s="45" t="str">
        <f>INDEX(Active!B:B, MATCH(Spearmans2!H59, Active!F:F,0),1)</f>
        <v>Natural</v>
      </c>
      <c r="K59" s="45" t="str">
        <f>INDEX(Active!K:K, MATCH(Spearmans2!H59, Active!F:F,0),1)</f>
        <v>PRISM climate data - 30-year normal mean temperature (CÂ°): Annual period: 1981-2010 within the AOI</v>
      </c>
      <c r="L59" s="46">
        <v>-0.86483991152617368</v>
      </c>
    </row>
    <row r="60" spans="1:12" s="47" customFormat="1" x14ac:dyDescent="0.3">
      <c r="A60" s="44" t="s">
        <v>699</v>
      </c>
      <c r="B60" s="44" t="str">
        <f t="shared" si="0"/>
        <v>ELEV</v>
      </c>
      <c r="C60" s="44" t="str">
        <f>INDEX(Active!J:J, MATCH(Spearmans2!B60, Active!F:F,0),1)</f>
        <v>Mean Elevation</v>
      </c>
      <c r="D60" s="44" t="str">
        <f>INDEX(Active!B:B, MATCH(Spearmans2!B60, Active!F:F,0),1)</f>
        <v>Natural</v>
      </c>
      <c r="E60" s="44" t="str">
        <f>INDEX(Active!D:D, MATCH(Spearmans2!B60, Active!F:F,0),1)</f>
        <v>Flow</v>
      </c>
      <c r="F60" s="44" t="str">
        <f>INDEX(Active!K:K, MATCH(Spearmans2!B60, Active!F:F,0),1)</f>
        <v>Mean AOI elevation (m)</v>
      </c>
      <c r="G60" s="45" t="s">
        <v>752</v>
      </c>
      <c r="H60" s="45" t="str">
        <f t="shared" si="1"/>
        <v>TMEAN9120</v>
      </c>
      <c r="I60" s="45" t="str">
        <f>INDEX(Active!J:J, MATCH(Spearmans2!H60, Active!F:F,0),1)</f>
        <v>30-year Mean Annual Air Temperature</v>
      </c>
      <c r="J60" s="45" t="str">
        <f>INDEX(Active!B:B, MATCH(Spearmans2!H60, Active!F:F,0),1)</f>
        <v>Natural</v>
      </c>
      <c r="K60" s="45" t="str">
        <f>INDEX(Active!K:K, MATCH(Spearmans2!H60, Active!F:F,0),1)</f>
        <v>PRISM climate data - 30-year normal mean temperature (CÂ°): Annual period: 1991-2020 within the AOI</v>
      </c>
      <c r="L60" s="46">
        <v>-0.85346085033177699</v>
      </c>
    </row>
    <row r="61" spans="1:12" s="47" customFormat="1" x14ac:dyDescent="0.3">
      <c r="A61" s="44" t="s">
        <v>699</v>
      </c>
      <c r="B61" s="44" t="str">
        <f t="shared" si="0"/>
        <v>ELEV</v>
      </c>
      <c r="C61" s="44" t="str">
        <f>INDEX(Active!J:J, MATCH(Spearmans2!B61, Active!F:F,0),1)</f>
        <v>Mean Elevation</v>
      </c>
      <c r="D61" s="44" t="str">
        <f>INDEX(Active!B:B, MATCH(Spearmans2!B61, Active!F:F,0),1)</f>
        <v>Natural</v>
      </c>
      <c r="E61" s="44" t="str">
        <f>INDEX(Active!D:D, MATCH(Spearmans2!B61, Active!F:F,0),1)</f>
        <v>Flow</v>
      </c>
      <c r="F61" s="44" t="str">
        <f>INDEX(Active!K:K, MATCH(Spearmans2!B61, Active!F:F,0),1)</f>
        <v>Mean AOI elevation (m)</v>
      </c>
      <c r="G61" s="45" t="s">
        <v>753</v>
      </c>
      <c r="H61" s="45" t="str">
        <f t="shared" si="1"/>
        <v>TMIN8110</v>
      </c>
      <c r="I61" s="45" t="str">
        <f>INDEX(Active!J:J, MATCH(Spearmans2!H61, Active!F:F,0),1)</f>
        <v>30-year Average Annual Normal Minimum Air Temperature</v>
      </c>
      <c r="J61" s="45" t="str">
        <f>INDEX(Active!B:B, MATCH(Spearmans2!H61, Active!F:F,0),1)</f>
        <v>Natural</v>
      </c>
      <c r="K61" s="45" t="str">
        <f>INDEX(Active!K:K, MATCH(Spearmans2!H61, Active!F:F,0),1)</f>
        <v>PRISM climate data - 30-year normal minimum temperature (CÂ°): Annual period: 1981-2010 within the AOI</v>
      </c>
      <c r="L61" s="46">
        <v>-0.90712115999016962</v>
      </c>
    </row>
    <row r="62" spans="1:12" s="47" customFormat="1" x14ac:dyDescent="0.3">
      <c r="A62" s="44" t="s">
        <v>699</v>
      </c>
      <c r="B62" s="44" t="str">
        <f t="shared" si="0"/>
        <v>ELEV</v>
      </c>
      <c r="C62" s="44" t="str">
        <f>INDEX(Active!J:J, MATCH(Spearmans2!B62, Active!F:F,0),1)</f>
        <v>Mean Elevation</v>
      </c>
      <c r="D62" s="44" t="str">
        <f>INDEX(Active!B:B, MATCH(Spearmans2!B62, Active!F:F,0),1)</f>
        <v>Natural</v>
      </c>
      <c r="E62" s="44" t="str">
        <f>INDEX(Active!D:D, MATCH(Spearmans2!B62, Active!F:F,0),1)</f>
        <v>Flow</v>
      </c>
      <c r="F62" s="44" t="str">
        <f>INDEX(Active!K:K, MATCH(Spearmans2!B62, Active!F:F,0),1)</f>
        <v>Mean AOI elevation (m)</v>
      </c>
      <c r="G62" s="45" t="s">
        <v>754</v>
      </c>
      <c r="H62" s="45" t="str">
        <f t="shared" si="1"/>
        <v>TMIN9120</v>
      </c>
      <c r="I62" s="45" t="str">
        <f>INDEX(Active!J:J, MATCH(Spearmans2!H62, Active!F:F,0),1)</f>
        <v>30-year Average Annual Normal Minimum Air Temperature</v>
      </c>
      <c r="J62" s="45" t="str">
        <f>INDEX(Active!B:B, MATCH(Spearmans2!H62, Active!F:F,0),1)</f>
        <v>Natural</v>
      </c>
      <c r="K62" s="45" t="str">
        <f>INDEX(Active!K:K, MATCH(Spearmans2!H62, Active!F:F,0),1)</f>
        <v>PRISM climate data - 30-year normal minimum temperature (CÂ°): Annual period: 1991-2020 within the AOI</v>
      </c>
      <c r="L62" s="46">
        <v>-0.8914588842467438</v>
      </c>
    </row>
    <row r="63" spans="1:12" s="43" customFormat="1" x14ac:dyDescent="0.3">
      <c r="A63" s="40" t="s">
        <v>700</v>
      </c>
      <c r="B63" s="40" t="str">
        <f t="shared" si="0"/>
        <v>FE2O3</v>
      </c>
      <c r="C63" s="40" t="str">
        <f>INDEX(Active!J:J, MATCH(Spearmans2!B63, Active!F:F,0),1)</f>
        <v>Mean Lithological Ferric Oxide</v>
      </c>
      <c r="D63" s="40" t="str">
        <f>INDEX(Active!B:B, MATCH(Spearmans2!B63, Active!F:F,0),1)</f>
        <v>Natural</v>
      </c>
      <c r="E63" s="40" t="str">
        <f>INDEX(Active!D:D, MATCH(Spearmans2!B63, Active!F:F,0),1)</f>
        <v>Lithology</v>
      </c>
      <c r="F63" s="40" t="str">
        <f>INDEX(Active!K:K, MATCH(Spearmans2!B63, Active!F:F,0),1)</f>
        <v>Mean % of lithological ferric oxide (Fe2O3) content in surface or near surface geology within AOI</v>
      </c>
      <c r="G63" s="41" t="s">
        <v>692</v>
      </c>
      <c r="H63" s="41" t="str">
        <f t="shared" si="1"/>
        <v>CAO</v>
      </c>
      <c r="I63" s="41" t="str">
        <f>INDEX(Active!J:J, MATCH(Spearmans2!H63, Active!F:F,0),1)</f>
        <v>Mean Lithological Calcium Oxide</v>
      </c>
      <c r="J63" s="41" t="str">
        <f>INDEX(Active!B:B, MATCH(Spearmans2!H63, Active!F:F,0),1)</f>
        <v>Natural</v>
      </c>
      <c r="K63" s="41" t="str">
        <f>INDEX(Active!K:K, MATCH(Spearmans2!H63, Active!F:F,0),1)</f>
        <v>Mean % of lithological calcium oxide (CaO) content in surface or near surface geology within AOI</v>
      </c>
      <c r="L63" s="42">
        <v>0.80613775450641523</v>
      </c>
    </row>
    <row r="64" spans="1:12" s="51" customFormat="1" x14ac:dyDescent="0.3">
      <c r="A64" s="48" t="s">
        <v>700</v>
      </c>
      <c r="B64" s="48" t="str">
        <f t="shared" si="0"/>
        <v>FE2O3</v>
      </c>
      <c r="C64" s="48" t="str">
        <f>INDEX(Active!J:J, MATCH(Spearmans2!B64, Active!F:F,0),1)</f>
        <v>Mean Lithological Ferric Oxide</v>
      </c>
      <c r="D64" s="48" t="str">
        <f>INDEX(Active!B:B, MATCH(Spearmans2!B64, Active!F:F,0),1)</f>
        <v>Natural</v>
      </c>
      <c r="E64" s="48" t="str">
        <f>INDEX(Active!D:D, MATCH(Spearmans2!B64, Active!F:F,0),1)</f>
        <v>Lithology</v>
      </c>
      <c r="F64" s="48" t="str">
        <f>INDEX(Active!K:K, MATCH(Spearmans2!B64, Active!F:F,0),1)</f>
        <v>Mean % of lithological ferric oxide (Fe2O3) content in surface or near surface geology within AOI</v>
      </c>
      <c r="G64" s="49" t="s">
        <v>744</v>
      </c>
      <c r="H64" s="49" t="str">
        <f t="shared" si="1"/>
        <v>SIO2</v>
      </c>
      <c r="I64" s="49" t="str">
        <f>INDEX(Active!J:J, MATCH(Spearmans2!H64, Active!F:F,0),1)</f>
        <v>Mean Lithological Silicon Dioxide</v>
      </c>
      <c r="J64" s="49" t="str">
        <f>INDEX(Active!B:B, MATCH(Spearmans2!H64, Active!F:F,0),1)</f>
        <v>Natural</v>
      </c>
      <c r="K64" s="49" t="str">
        <f>INDEX(Active!K:K, MATCH(Spearmans2!H64, Active!F:F,0),1)</f>
        <v>Mean % of lithological silicon dioxide (SiO2) content in surface or near surface geology within AOI</v>
      </c>
      <c r="L64" s="50">
        <v>-0.83079520582346567</v>
      </c>
    </row>
    <row r="65" spans="1:12" s="34" customFormat="1" x14ac:dyDescent="0.3">
      <c r="A65" s="30" t="s">
        <v>701</v>
      </c>
      <c r="B65" s="31" t="str">
        <f t="shared" si="0"/>
        <v>FERT</v>
      </c>
      <c r="C65" s="31" t="str">
        <f>INDEX(Active!J:J, MATCH(Spearmans2!B65, Active!F:F,0),1)</f>
        <v>Synthetic Nitrogen Fertilizer Application Mean Rate</v>
      </c>
      <c r="D65" s="31" t="str">
        <f>INDEX(Active!B:B, MATCH(Spearmans2!B65, Active!F:F,0),1)</f>
        <v>Anthropogenic</v>
      </c>
      <c r="E65" s="31" t="str">
        <f>INDEX(Active!D:D, MATCH(Spearmans2!B65, Active!F:F,0),1)</f>
        <v>Agriculture</v>
      </c>
      <c r="F65" s="31" t="str">
        <f>INDEX(Active!K:K, MATCH(Spearmans2!B65, Active!F:F,0),1)</f>
        <v>Mean rate of synthetic nitrogen fertilizer application to agricultural land in kg N/ha/yr, within the AOI</v>
      </c>
      <c r="G65" s="32" t="s">
        <v>687</v>
      </c>
      <c r="H65" s="32" t="str">
        <f t="shared" si="1"/>
        <v>AGKFFACT</v>
      </c>
      <c r="I65" s="32" t="str">
        <f>INDEX(Active!J:J, MATCH(Spearmans2!H65, Active!F:F,0),1)</f>
        <v>Ag Soil Erodibility Kf Factor</v>
      </c>
      <c r="J65" s="32" t="str">
        <f>INDEX(Active!B:B, MATCH(Spearmans2!H65, Active!F:F,0),1)</f>
        <v>Anthropogenic</v>
      </c>
      <c r="K65" s="32" t="str">
        <f>INDEX(Active!K:K, MATCH(Spearmans2!H65,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65" s="33">
        <v>0.98664056927519972</v>
      </c>
    </row>
    <row r="66" spans="1:12" s="34" customFormat="1" x14ac:dyDescent="0.3">
      <c r="A66" s="30" t="s">
        <v>701</v>
      </c>
      <c r="B66" s="31" t="str">
        <f t="shared" ref="B66:B129" si="2">IF(RIGHT(A66,2)="WS", LEFT(A66,LEN(A66)-2),A66)</f>
        <v>FERT</v>
      </c>
      <c r="C66" s="31" t="str">
        <f>INDEX(Active!J:J, MATCH(Spearmans2!B66, Active!F:F,0),1)</f>
        <v>Synthetic Nitrogen Fertilizer Application Mean Rate</v>
      </c>
      <c r="D66" s="31" t="str">
        <f>INDEX(Active!B:B, MATCH(Spearmans2!B66, Active!F:F,0),1)</f>
        <v>Anthropogenic</v>
      </c>
      <c r="E66" s="31" t="str">
        <f>INDEX(Active!D:D, MATCH(Spearmans2!B66, Active!F:F,0),1)</f>
        <v>Agriculture</v>
      </c>
      <c r="F66" s="31" t="str">
        <f>INDEX(Active!K:K, MATCH(Spearmans2!B66, Active!F:F,0),1)</f>
        <v>Mean rate of synthetic nitrogen fertilizer application to agricultural land in kg N/ha/yr, within the AOI</v>
      </c>
      <c r="G66" s="32" t="s">
        <v>693</v>
      </c>
      <c r="H66" s="32" t="str">
        <f t="shared" ref="H66:H129" si="3">IF(RIGHT(G66,2)="WS", LEFT(G66,LEN(G66)-2),G66)</f>
        <v>CBNF</v>
      </c>
      <c r="I66" s="32" t="str">
        <f>INDEX(Active!J:J, MATCH(Spearmans2!H66, Active!F:F,0),1)</f>
        <v>Cultivated Biological Nitrogen Fixation Mean Rate</v>
      </c>
      <c r="J66" s="32" t="str">
        <f>INDEX(Active!B:B, MATCH(Spearmans2!H66, Active!F:F,0),1)</f>
        <v>Anthropogenic</v>
      </c>
      <c r="K66" s="32" t="str">
        <f>INDEX(Active!K:K, MATCH(Spearmans2!H66, Active!F:F,0),1)</f>
        <v>Mean rate of biological nitrogen fixation from the cultivation of crops in kg N/ha/yr, within AOI</v>
      </c>
      <c r="L66" s="33">
        <v>0.99080287551384416</v>
      </c>
    </row>
    <row r="67" spans="1:12" s="34" customFormat="1" x14ac:dyDescent="0.3">
      <c r="A67" s="30" t="s">
        <v>701</v>
      </c>
      <c r="B67" s="31" t="str">
        <f t="shared" si="2"/>
        <v>FERT</v>
      </c>
      <c r="C67" s="31" t="str">
        <f>INDEX(Active!J:J, MATCH(Spearmans2!B67, Active!F:F,0),1)</f>
        <v>Synthetic Nitrogen Fertilizer Application Mean Rate</v>
      </c>
      <c r="D67" s="31" t="str">
        <f>INDEX(Active!B:B, MATCH(Spearmans2!B67, Active!F:F,0),1)</f>
        <v>Anthropogenic</v>
      </c>
      <c r="E67" s="31" t="str">
        <f>INDEX(Active!D:D, MATCH(Spearmans2!B67, Active!F:F,0),1)</f>
        <v>Agriculture</v>
      </c>
      <c r="F67" s="31" t="str">
        <f>INDEX(Active!K:K, MATCH(Spearmans2!B67, Active!F:F,0),1)</f>
        <v>Mean rate of synthetic nitrogen fertilizer application to agricultural land in kg N/ha/yr, within the AOI</v>
      </c>
      <c r="G67" s="32" t="s">
        <v>705</v>
      </c>
      <c r="H67" s="32" t="str">
        <f t="shared" si="3"/>
        <v>MANURE</v>
      </c>
      <c r="I67" s="32" t="str">
        <f>INDEX(Active!J:J, MATCH(Spearmans2!H67, Active!F:F,0),1)</f>
        <v>Mean Manure Application Rate</v>
      </c>
      <c r="J67" s="32" t="str">
        <f>INDEX(Active!B:B, MATCH(Spearmans2!H67, Active!F:F,0),1)</f>
        <v>Anthropogenic</v>
      </c>
      <c r="K67" s="32" t="str">
        <f>INDEX(Active!K:K, MATCH(Spearmans2!H67, Active!F:F,0),1)</f>
        <v>Mean rate of manure application to agricultural land from confined animal feeding operations in kg N/ha/yr, within AOI</v>
      </c>
      <c r="L67" s="33">
        <v>0.90131614668187698</v>
      </c>
    </row>
    <row r="68" spans="1:12" s="34" customFormat="1" x14ac:dyDescent="0.3">
      <c r="A68" s="30" t="s">
        <v>701</v>
      </c>
      <c r="B68" s="31" t="str">
        <f t="shared" si="2"/>
        <v>FERT</v>
      </c>
      <c r="C68" s="31" t="str">
        <f>INDEX(Active!J:J, MATCH(Spearmans2!B68, Active!F:F,0),1)</f>
        <v>Synthetic Nitrogen Fertilizer Application Mean Rate</v>
      </c>
      <c r="D68" s="31" t="str">
        <f>INDEX(Active!B:B, MATCH(Spearmans2!B68, Active!F:F,0),1)</f>
        <v>Anthropogenic</v>
      </c>
      <c r="E68" s="31" t="str">
        <f>INDEX(Active!D:D, MATCH(Spearmans2!B68, Active!F:F,0),1)</f>
        <v>Agriculture</v>
      </c>
      <c r="F68" s="31" t="str">
        <f>INDEX(Active!K:K, MATCH(Spearmans2!B68, Active!F:F,0),1)</f>
        <v>Mean rate of synthetic nitrogen fertilizer application to agricultural land in kg N/ha/yr, within the AOI</v>
      </c>
      <c r="G68" s="32" t="s">
        <v>755</v>
      </c>
      <c r="H68" s="32" t="str">
        <f t="shared" si="3"/>
        <v>WATERINPUT</v>
      </c>
      <c r="I68" s="32" t="str">
        <f>INDEX(Active!J:J, MATCH(Spearmans2!H68, Active!F:F,0),1)</f>
        <v>Water Input</v>
      </c>
      <c r="J68" s="32" t="str">
        <f>INDEX(Active!B:B, MATCH(Spearmans2!H68, Active!F:F,0),1)</f>
        <v>Anthropogenic</v>
      </c>
      <c r="K68" s="32" t="str">
        <f>INDEX(Active!K:K, MATCH(Spearmans2!H68, Active!F:F,0),1)</f>
        <v>Water Input (km2/cm): Ratio of the total area of irrigated land to precipitation within AOI</v>
      </c>
      <c r="L68" s="33">
        <v>0.93267861210277236</v>
      </c>
    </row>
    <row r="69" spans="1:12" s="34" customFormat="1" x14ac:dyDescent="0.3">
      <c r="A69" s="30" t="s">
        <v>701</v>
      </c>
      <c r="B69" s="31" t="str">
        <f t="shared" si="2"/>
        <v>FERT</v>
      </c>
      <c r="C69" s="31" t="str">
        <f>INDEX(Active!J:J, MATCH(Spearmans2!B69, Active!F:F,0),1)</f>
        <v>Synthetic Nitrogen Fertilizer Application Mean Rate</v>
      </c>
      <c r="D69" s="31" t="str">
        <f>INDEX(Active!B:B, MATCH(Spearmans2!B69, Active!F:F,0),1)</f>
        <v>Anthropogenic</v>
      </c>
      <c r="E69" s="31" t="str">
        <f>INDEX(Active!D:D, MATCH(Spearmans2!B69, Active!F:F,0),1)</f>
        <v>Agriculture</v>
      </c>
      <c r="F69" s="31" t="str">
        <f>INDEX(Active!K:K, MATCH(Spearmans2!B69, Active!F:F,0),1)</f>
        <v>Mean rate of synthetic nitrogen fertilizer application to agricultural land in kg N/ha/yr, within the AOI</v>
      </c>
      <c r="G69" s="32" t="s">
        <v>756</v>
      </c>
      <c r="H69" s="32" t="str">
        <f t="shared" si="3"/>
        <v>WDRW_LD</v>
      </c>
      <c r="I69" s="32" t="str">
        <f>INDEX(Active!J:J, MATCH(Spearmans2!H69, Active!F:F,0),1)</f>
        <v>Agricultural Fresh Surface-Water Withdraw</v>
      </c>
      <c r="J69" s="32" t="str">
        <f>INDEX(Active!B:B, MATCH(Spearmans2!H69, Active!F:F,0),1)</f>
        <v>Anthropogenic</v>
      </c>
      <c r="K69" s="32" t="str">
        <f>INDEX(Active!K:K, MATCH(Spearmans2!H69, Active!F:F,0),1)</f>
        <v>Total fresh surface-water withdrawals in agricultural land per AOI area (L/day)</v>
      </c>
      <c r="L69" s="33">
        <v>0.94748664700252017</v>
      </c>
    </row>
    <row r="70" spans="1:12" s="56" customFormat="1" x14ac:dyDescent="0.3">
      <c r="A70" s="52" t="s">
        <v>702</v>
      </c>
      <c r="B70" s="53" t="str">
        <f t="shared" si="2"/>
        <v>HUDEN2010</v>
      </c>
      <c r="C70" s="53" t="str">
        <f>INDEX(Active!J:J, MATCH(Spearmans2!B70, Active!F:F,0),1)</f>
        <v>Mean Housing Density</v>
      </c>
      <c r="D70" s="53" t="str">
        <f>INDEX(Active!B:B, MATCH(Spearmans2!B70, Active!F:F,0),1)</f>
        <v>Anthropogenic</v>
      </c>
      <c r="E70" s="53" t="str">
        <f>INDEX(Active!D:D, MATCH(Spearmans2!B70, Active!F:F,0),1)</f>
        <v>Urban</v>
      </c>
      <c r="F70" s="53" t="str">
        <f>INDEX(Active!K:K, MATCH(Spearmans2!B70, Active!F:F,0),1)</f>
        <v>Mean housing unit density (housing units/square km) within AOI.</v>
      </c>
      <c r="G70" s="54" t="s">
        <v>737</v>
      </c>
      <c r="H70" s="54" t="str">
        <f t="shared" si="3"/>
        <v>POPDEN2010</v>
      </c>
      <c r="I70" s="54" t="str">
        <f>INDEX(Active!J:J, MATCH(Spearmans2!H70, Active!F:F,0),1)</f>
        <v>Mean Population Density</v>
      </c>
      <c r="J70" s="54" t="str">
        <f>INDEX(Active!B:B, MATCH(Spearmans2!H70, Active!F:F,0),1)</f>
        <v>Anthropogenic</v>
      </c>
      <c r="K70" s="54" t="str">
        <f>INDEX(Active!K:K, MATCH(Spearmans2!H70, Active!F:F,0),1)</f>
        <v>Mean populating density (people/square km) within AOI</v>
      </c>
      <c r="L70" s="55">
        <v>0.98022173631246912</v>
      </c>
    </row>
    <row r="71" spans="1:12" s="47" customFormat="1" x14ac:dyDescent="0.3">
      <c r="A71" s="44" t="s">
        <v>703</v>
      </c>
      <c r="B71" s="44" t="str">
        <f t="shared" si="2"/>
        <v>INORGNWETDEP2008</v>
      </c>
      <c r="C71" s="44" t="str">
        <f>INDEX(Active!J:J, MATCH(Spearmans2!B71, Active!F:F,0),1)</f>
        <v>Mean Annual Precipitation-Weighted Nitrogen</v>
      </c>
      <c r="D71" s="44" t="str">
        <f>INDEX(Active!B:B, MATCH(Spearmans2!B71, Active!F:F,0),1)</f>
        <v>Natural</v>
      </c>
      <c r="E71" s="44" t="str">
        <f>INDEX(Active!D:D, MATCH(Spearmans2!B71, Active!F:F,0),1)</f>
        <v>Climate</v>
      </c>
      <c r="F71" s="44" t="str">
        <f>INDEX(Active!K:K, MATCH(Spearmans2!B71, Active!F:F,0),1)</f>
        <v>Annual gradient map of precipitation-weighted mean deposition for inorganic nitrogen wet deposition from nitrate and ammonium for 2008 in kg of N/ha/yr, within AOI</v>
      </c>
      <c r="G71" s="45" t="s">
        <v>714</v>
      </c>
      <c r="H71" s="45" t="str">
        <f t="shared" si="3"/>
        <v>NH42008</v>
      </c>
      <c r="I71" s="45" t="str">
        <f>INDEX(Active!J:J, MATCH(Spearmans2!H71, Active!F:F,0),1)</f>
        <v>Mean annual Precipitation-Weighted NH4 Mean</v>
      </c>
      <c r="J71" s="45" t="str">
        <f>INDEX(Active!B:B, MATCH(Spearmans2!H71, Active!F:F,0),1)</f>
        <v>Natural</v>
      </c>
      <c r="K71" s="45" t="str">
        <f>INDEX(Active!K:K, MATCH(Spearmans2!H71, Active!F:F,0),1)</f>
        <v>Annual gradient map of precipitation-weighted mean deposition for ammonium ion concentration wet deposition for 2008 in kg of NH4/ha/yr, within AOI</v>
      </c>
      <c r="L71" s="46">
        <v>0.99260464360365241</v>
      </c>
    </row>
    <row r="72" spans="1:12" s="47" customFormat="1" x14ac:dyDescent="0.3">
      <c r="A72" s="44" t="s">
        <v>703</v>
      </c>
      <c r="B72" s="44" t="str">
        <f t="shared" si="2"/>
        <v>INORGNWETDEP2008</v>
      </c>
      <c r="C72" s="44" t="str">
        <f>INDEX(Active!J:J, MATCH(Spearmans2!B72, Active!F:F,0),1)</f>
        <v>Mean Annual Precipitation-Weighted Nitrogen</v>
      </c>
      <c r="D72" s="44" t="str">
        <f>INDEX(Active!B:B, MATCH(Spearmans2!B72, Active!F:F,0),1)</f>
        <v>Natural</v>
      </c>
      <c r="E72" s="44" t="str">
        <f>INDEX(Active!D:D, MATCH(Spearmans2!B72, Active!F:F,0),1)</f>
        <v>Climate</v>
      </c>
      <c r="F72" s="44" t="str">
        <f>INDEX(Active!K:K, MATCH(Spearmans2!B72, Active!F:F,0),1)</f>
        <v>Annual gradient map of precipitation-weighted mean deposition for inorganic nitrogen wet deposition from nitrate and ammonium for 2008 in kg of N/ha/yr, within AOI</v>
      </c>
      <c r="G72" s="45" t="s">
        <v>715</v>
      </c>
      <c r="H72" s="45" t="str">
        <f t="shared" si="3"/>
        <v>NO32008</v>
      </c>
      <c r="I72" s="45" t="str">
        <f>INDEX(Active!J:J, MATCH(Spearmans2!H72, Active!F:F,0),1)</f>
        <v>Mean Annual Precipitation-Weighted NO3 Mean</v>
      </c>
      <c r="J72" s="45" t="str">
        <f>INDEX(Active!B:B, MATCH(Spearmans2!H72, Active!F:F,0),1)</f>
        <v>Natural</v>
      </c>
      <c r="K72" s="45" t="str">
        <f>INDEX(Active!K:K, MATCH(Spearmans2!H72, Active!F:F,0),1)</f>
        <v>Annual gradient map of precipitation-weighted mean deposition for nitrate ion concentration wet deposition for 2008 in kg of NO3/ha/yr, within AOI</v>
      </c>
      <c r="L72" s="46">
        <v>0.98238027619392909</v>
      </c>
    </row>
    <row r="73" spans="1:12" s="47" customFormat="1" x14ac:dyDescent="0.3">
      <c r="A73" s="44" t="s">
        <v>703</v>
      </c>
      <c r="B73" s="44" t="str">
        <f t="shared" si="2"/>
        <v>INORGNWETDEP2008</v>
      </c>
      <c r="C73" s="44" t="str">
        <f>INDEX(Active!J:J, MATCH(Spearmans2!B73, Active!F:F,0),1)</f>
        <v>Mean Annual Precipitation-Weighted Nitrogen</v>
      </c>
      <c r="D73" s="44" t="str">
        <f>INDEX(Active!B:B, MATCH(Spearmans2!B73, Active!F:F,0),1)</f>
        <v>Natural</v>
      </c>
      <c r="E73" s="44" t="str">
        <f>INDEX(Active!D:D, MATCH(Spearmans2!B73, Active!F:F,0),1)</f>
        <v>Climate</v>
      </c>
      <c r="F73" s="44" t="str">
        <f>INDEX(Active!K:K, MATCH(Spearmans2!B73, Active!F:F,0),1)</f>
        <v>Annual gradient map of precipitation-weighted mean deposition for inorganic nitrogen wet deposition from nitrate and ammonium for 2008 in kg of N/ha/yr, within AOI</v>
      </c>
      <c r="G73" s="45" t="s">
        <v>738</v>
      </c>
      <c r="H73" s="45" t="str">
        <f t="shared" si="3"/>
        <v>PRECIP_MINUS_EVT</v>
      </c>
      <c r="I73" s="45" t="str">
        <f>INDEX(Active!J:J, MATCH(Spearmans2!H73, Active!F:F,0),1)</f>
        <v>Surplus Precipitation</v>
      </c>
      <c r="J73" s="45" t="str">
        <f>INDEX(Active!B:B, MATCH(Spearmans2!H73, Active!F:F,0),1)</f>
        <v>Natural</v>
      </c>
      <c r="K73" s="45" t="str">
        <f>INDEX(Active!K:K, MATCH(Spearmans2!H73,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73" s="46">
        <v>0.82821834776470604</v>
      </c>
    </row>
    <row r="74" spans="1:12" s="47" customFormat="1" x14ac:dyDescent="0.3">
      <c r="A74" s="44" t="s">
        <v>703</v>
      </c>
      <c r="B74" s="44" t="str">
        <f t="shared" si="2"/>
        <v>INORGNWETDEP2008</v>
      </c>
      <c r="C74" s="44" t="str">
        <f>INDEX(Active!J:J, MATCH(Spearmans2!B74, Active!F:F,0),1)</f>
        <v>Mean Annual Precipitation-Weighted Nitrogen</v>
      </c>
      <c r="D74" s="44" t="str">
        <f>INDEX(Active!B:B, MATCH(Spearmans2!B74, Active!F:F,0),1)</f>
        <v>Natural</v>
      </c>
      <c r="E74" s="44" t="str">
        <f>INDEX(Active!D:D, MATCH(Spearmans2!B74, Active!F:F,0),1)</f>
        <v>Climate</v>
      </c>
      <c r="F74" s="44" t="str">
        <f>INDEX(Active!K:K, MATCH(Spearmans2!B74, Active!F:F,0),1)</f>
        <v>Annual gradient map of precipitation-weighted mean deposition for inorganic nitrogen wet deposition from nitrate and ammonium for 2008 in kg of N/ha/yr, within AOI</v>
      </c>
      <c r="G74" s="45" t="s">
        <v>740</v>
      </c>
      <c r="H74" s="45" t="str">
        <f t="shared" si="3"/>
        <v>PRECIP8110</v>
      </c>
      <c r="I74" s="45" t="str">
        <f>INDEX(Active!J:J, MATCH(Spearmans2!H74, Active!F:F,0),1)</f>
        <v>30-year Mean Annual Precipitation</v>
      </c>
      <c r="J74" s="45" t="str">
        <f>INDEX(Active!B:B, MATCH(Spearmans2!H74, Active!F:F,0),1)</f>
        <v>Natural</v>
      </c>
      <c r="K74" s="45" t="str">
        <f>INDEX(Active!K:K, MATCH(Spearmans2!H74, Active!F:F,0),1)</f>
        <v>PRISM climate data - 30-year normal mean precipitation (mm): Annual period: 1981-2010 within AOI</v>
      </c>
      <c r="L74" s="46">
        <v>0.82385496799483859</v>
      </c>
    </row>
    <row r="75" spans="1:12" s="47" customFormat="1" x14ac:dyDescent="0.3">
      <c r="A75" s="44" t="s">
        <v>703</v>
      </c>
      <c r="B75" s="44" t="str">
        <f t="shared" si="2"/>
        <v>INORGNWETDEP2008</v>
      </c>
      <c r="C75" s="44" t="str">
        <f>INDEX(Active!J:J, MATCH(Spearmans2!B75, Active!F:F,0),1)</f>
        <v>Mean Annual Precipitation-Weighted Nitrogen</v>
      </c>
      <c r="D75" s="44" t="str">
        <f>INDEX(Active!B:B, MATCH(Spearmans2!B75, Active!F:F,0),1)</f>
        <v>Natural</v>
      </c>
      <c r="E75" s="44" t="str">
        <f>INDEX(Active!D:D, MATCH(Spearmans2!B75, Active!F:F,0),1)</f>
        <v>Climate</v>
      </c>
      <c r="F75" s="44" t="str">
        <f>INDEX(Active!K:K, MATCH(Spearmans2!B75, Active!F:F,0),1)</f>
        <v>Annual gradient map of precipitation-weighted mean deposition for inorganic nitrogen wet deposition from nitrate and ammonium for 2008 in kg of N/ha/yr, within AOI</v>
      </c>
      <c r="G75" s="45" t="s">
        <v>741</v>
      </c>
      <c r="H75" s="45" t="str">
        <f t="shared" si="3"/>
        <v>PRECIP9120</v>
      </c>
      <c r="I75" s="45" t="str">
        <f>INDEX(Active!J:J, MATCH(Spearmans2!H75, Active!F:F,0),1)</f>
        <v>30-year Mean Annual Precipitation</v>
      </c>
      <c r="J75" s="45" t="str">
        <f>INDEX(Active!B:B, MATCH(Spearmans2!H75, Active!F:F,0),1)</f>
        <v>Natural</v>
      </c>
      <c r="K75" s="45" t="str">
        <f>INDEX(Active!K:K, MATCH(Spearmans2!H75, Active!F:F,0),1)</f>
        <v>PRISM climate data - 30-year normal mean precipitation (mm): Annual period: 1991-2020 within the AOI</v>
      </c>
      <c r="L75" s="46">
        <v>0.82737180277079514</v>
      </c>
    </row>
    <row r="76" spans="1:12" s="47" customFormat="1" x14ac:dyDescent="0.3">
      <c r="A76" s="44" t="s">
        <v>703</v>
      </c>
      <c r="B76" s="44" t="str">
        <f t="shared" si="2"/>
        <v>INORGNWETDEP2008</v>
      </c>
      <c r="C76" s="44" t="str">
        <f>INDEX(Active!J:J, MATCH(Spearmans2!B76, Active!F:F,0),1)</f>
        <v>Mean Annual Precipitation-Weighted Nitrogen</v>
      </c>
      <c r="D76" s="44" t="str">
        <f>INDEX(Active!B:B, MATCH(Spearmans2!B76, Active!F:F,0),1)</f>
        <v>Natural</v>
      </c>
      <c r="E76" s="44" t="str">
        <f>INDEX(Active!D:D, MATCH(Spearmans2!B76, Active!F:F,0),1)</f>
        <v>Climate</v>
      </c>
      <c r="F76" s="44" t="str">
        <f>INDEX(Active!K:K, MATCH(Spearmans2!B76, Active!F:F,0),1)</f>
        <v>Annual gradient map of precipitation-weighted mean deposition for inorganic nitrogen wet deposition from nitrate and ammonium for 2008 in kg of N/ha/yr, within AOI</v>
      </c>
      <c r="G76" s="45" t="s">
        <v>745</v>
      </c>
      <c r="H76" s="45" t="str">
        <f t="shared" si="3"/>
        <v>SN2008</v>
      </c>
      <c r="I76" s="45" t="str">
        <f>INDEX(Active!J:J, MATCH(Spearmans2!H76, Active!F:F,0),1)</f>
        <v>Annual Mean Sulfur and Nitrogen Wet Deposition</v>
      </c>
      <c r="J76" s="45" t="str">
        <f>INDEX(Active!B:B, MATCH(Spearmans2!H76, Active!F:F,0),1)</f>
        <v>Natural</v>
      </c>
      <c r="K76" s="45" t="str">
        <f>INDEX(Active!K:K, MATCH(Spearmans2!H76, Active!F:F,0),1)</f>
        <v>Annual gradient map of precipitation-weighted mean deposition for average sulfur &amp; nitrogen wet deposition for 2008 in kg of S+N/ha/yr, within AOI</v>
      </c>
      <c r="L76" s="46">
        <v>0.98501693217090003</v>
      </c>
    </row>
    <row r="77" spans="1:12" s="43" customFormat="1" x14ac:dyDescent="0.3">
      <c r="A77" s="40" t="s">
        <v>704</v>
      </c>
      <c r="B77" s="40" t="str">
        <f t="shared" si="2"/>
        <v>K2O</v>
      </c>
      <c r="C77" s="40" t="str">
        <f>INDEX(Active!J:J, MATCH(Spearmans2!B77, Active!F:F,0),1)</f>
        <v>InorgNWetDep</v>
      </c>
      <c r="D77" s="40" t="str">
        <f>INDEX(Active!B:B, MATCH(Spearmans2!B77, Active!F:F,0),1)</f>
        <v>Natural</v>
      </c>
      <c r="E77" s="40" t="str">
        <f>INDEX(Active!D:D, MATCH(Spearmans2!B77, Active!F:F,0),1)</f>
        <v>Lithology</v>
      </c>
      <c r="F77" s="40" t="str">
        <f>INDEX(Active!K:K, MATCH(Spearmans2!B77, Active!F:F,0),1)</f>
        <v>Mean % of lithological potassium oxide (K2O) content in surface or near surface geology within AOI</v>
      </c>
      <c r="G77" s="41" t="s">
        <v>692</v>
      </c>
      <c r="H77" s="41" t="str">
        <f t="shared" si="3"/>
        <v>CAO</v>
      </c>
      <c r="I77" s="41" t="str">
        <f>INDEX(Active!J:J, MATCH(Spearmans2!H77, Active!F:F,0),1)</f>
        <v>Mean Lithological Calcium Oxide</v>
      </c>
      <c r="J77" s="41" t="str">
        <f>INDEX(Active!B:B, MATCH(Spearmans2!H77, Active!F:F,0),1)</f>
        <v>Natural</v>
      </c>
      <c r="K77" s="41" t="str">
        <f>INDEX(Active!K:K, MATCH(Spearmans2!H77, Active!F:F,0),1)</f>
        <v>Mean % of lithological calcium oxide (CaO) content in surface or near surface geology within AOI</v>
      </c>
      <c r="L77" s="42">
        <v>-0.81954401964103774</v>
      </c>
    </row>
    <row r="78" spans="1:12" s="47" customFormat="1" x14ac:dyDescent="0.3">
      <c r="A78" s="44" t="s">
        <v>704</v>
      </c>
      <c r="B78" s="44" t="str">
        <f t="shared" si="2"/>
        <v>K2O</v>
      </c>
      <c r="C78" s="44" t="str">
        <f>INDEX(Active!J:J, MATCH(Spearmans2!B78, Active!F:F,0),1)</f>
        <v>InorgNWetDep</v>
      </c>
      <c r="D78" s="44" t="str">
        <f>INDEX(Active!B:B, MATCH(Spearmans2!B78, Active!F:F,0),1)</f>
        <v>Natural</v>
      </c>
      <c r="E78" s="44" t="str">
        <f>INDEX(Active!D:D, MATCH(Spearmans2!B78, Active!F:F,0),1)</f>
        <v>Lithology</v>
      </c>
      <c r="F78" s="44" t="str">
        <f>INDEX(Active!K:K, MATCH(Spearmans2!B78, Active!F:F,0),1)</f>
        <v>Mean % of lithological potassium oxide (K2O) content in surface or near surface geology within AOI</v>
      </c>
      <c r="G78" s="45" t="s">
        <v>707</v>
      </c>
      <c r="H78" s="45" t="str">
        <f t="shared" si="3"/>
        <v>MGO</v>
      </c>
      <c r="I78" s="45" t="str">
        <f>INDEX(Active!J:J, MATCH(Spearmans2!H78, Active!F:F,0),1)</f>
        <v>Mean Lithological Magnesium Oxide</v>
      </c>
      <c r="J78" s="45" t="str">
        <f>INDEX(Active!B:B, MATCH(Spearmans2!H78, Active!F:F,0),1)</f>
        <v>Natural</v>
      </c>
      <c r="K78" s="45" t="str">
        <f>INDEX(Active!K:K, MATCH(Spearmans2!H78, Active!F:F,0),1)</f>
        <v>Mean % of lithological magnesium oxide (MgO) content in surface or near surface geology within AOI</v>
      </c>
      <c r="L78" s="46">
        <v>-0.87324201120202216</v>
      </c>
    </row>
    <row r="79" spans="1:12" s="51" customFormat="1" x14ac:dyDescent="0.3">
      <c r="A79" s="48" t="s">
        <v>704</v>
      </c>
      <c r="B79" s="48" t="str">
        <f t="shared" si="2"/>
        <v>K2O</v>
      </c>
      <c r="C79" s="48" t="str">
        <f>INDEX(Active!J:J, MATCH(Spearmans2!B79, Active!F:F,0),1)</f>
        <v>InorgNWetDep</v>
      </c>
      <c r="D79" s="48" t="str">
        <f>INDEX(Active!B:B, MATCH(Spearmans2!B79, Active!F:F,0),1)</f>
        <v>Natural</v>
      </c>
      <c r="E79" s="48" t="str">
        <f>INDEX(Active!D:D, MATCH(Spearmans2!B79, Active!F:F,0),1)</f>
        <v>Lithology</v>
      </c>
      <c r="F79" s="48" t="str">
        <f>INDEX(Active!K:K, MATCH(Spearmans2!B79, Active!F:F,0),1)</f>
        <v>Mean % of lithological potassium oxide (K2O) content in surface or near surface geology within AOI</v>
      </c>
      <c r="G79" s="49" t="s">
        <v>744</v>
      </c>
      <c r="H79" s="49" t="str">
        <f t="shared" si="3"/>
        <v>SIO2</v>
      </c>
      <c r="I79" s="49" t="str">
        <f>INDEX(Active!J:J, MATCH(Spearmans2!H79, Active!F:F,0),1)</f>
        <v>Mean Lithological Silicon Dioxide</v>
      </c>
      <c r="J79" s="49" t="str">
        <f>INDEX(Active!B:B, MATCH(Spearmans2!H79, Active!F:F,0),1)</f>
        <v>Natural</v>
      </c>
      <c r="K79" s="49" t="str">
        <f>INDEX(Active!K:K, MATCH(Spearmans2!H79, Active!F:F,0),1)</f>
        <v>Mean % of lithological silicon dioxide (SiO2) content in surface or near surface geology within AOI</v>
      </c>
      <c r="L79" s="50">
        <v>0.85407021771953906</v>
      </c>
    </row>
    <row r="80" spans="1:12" s="34" customFormat="1" x14ac:dyDescent="0.3">
      <c r="A80" s="30" t="s">
        <v>705</v>
      </c>
      <c r="B80" s="31" t="str">
        <f t="shared" si="2"/>
        <v>MANURE</v>
      </c>
      <c r="C80" s="31" t="str">
        <f>INDEX(Active!J:J, MATCH(Spearmans2!B80, Active!F:F,0),1)</f>
        <v>Mean Manure Application Rate</v>
      </c>
      <c r="D80" s="31" t="str">
        <f>INDEX(Active!B:B, MATCH(Spearmans2!B80, Active!F:F,0),1)</f>
        <v>Anthropogenic</v>
      </c>
      <c r="E80" s="31" t="str">
        <f>INDEX(Active!D:D, MATCH(Spearmans2!B80, Active!F:F,0),1)</f>
        <v>Agriculture</v>
      </c>
      <c r="F80" s="31" t="str">
        <f>INDEX(Active!K:K, MATCH(Spearmans2!B80, Active!F:F,0),1)</f>
        <v>Mean rate of manure application to agricultural land from confined animal feeding operations in kg N/ha/yr, within AOI</v>
      </c>
      <c r="G80" s="32" t="s">
        <v>687</v>
      </c>
      <c r="H80" s="32" t="str">
        <f t="shared" si="3"/>
        <v>AGKFFACT</v>
      </c>
      <c r="I80" s="32" t="str">
        <f>INDEX(Active!J:J, MATCH(Spearmans2!H80, Active!F:F,0),1)</f>
        <v>Ag Soil Erodibility Kf Factor</v>
      </c>
      <c r="J80" s="32" t="str">
        <f>INDEX(Active!B:B, MATCH(Spearmans2!H80, Active!F:F,0),1)</f>
        <v>Anthropogenic</v>
      </c>
      <c r="K80" s="32" t="str">
        <f>INDEX(Active!K:K, MATCH(Spearmans2!H80,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80" s="33">
        <v>0.88720799208332568</v>
      </c>
    </row>
    <row r="81" spans="1:12" s="34" customFormat="1" x14ac:dyDescent="0.3">
      <c r="A81" s="30" t="s">
        <v>705</v>
      </c>
      <c r="B81" s="31" t="str">
        <f t="shared" si="2"/>
        <v>MANURE</v>
      </c>
      <c r="C81" s="31" t="str">
        <f>INDEX(Active!J:J, MATCH(Spearmans2!B81, Active!F:F,0),1)</f>
        <v>Mean Manure Application Rate</v>
      </c>
      <c r="D81" s="31" t="str">
        <f>INDEX(Active!B:B, MATCH(Spearmans2!B81, Active!F:F,0),1)</f>
        <v>Anthropogenic</v>
      </c>
      <c r="E81" s="31" t="str">
        <f>INDEX(Active!D:D, MATCH(Spearmans2!B81, Active!F:F,0),1)</f>
        <v>Agriculture</v>
      </c>
      <c r="F81" s="31" t="str">
        <f>INDEX(Active!K:K, MATCH(Spearmans2!B81, Active!F:F,0),1)</f>
        <v>Mean rate of manure application to agricultural land from confined animal feeding operations in kg N/ha/yr, within AOI</v>
      </c>
      <c r="G81" s="32" t="s">
        <v>693</v>
      </c>
      <c r="H81" s="32" t="str">
        <f t="shared" si="3"/>
        <v>CBNF</v>
      </c>
      <c r="I81" s="32" t="str">
        <f>INDEX(Active!J:J, MATCH(Spearmans2!H81, Active!F:F,0),1)</f>
        <v>Cultivated Biological Nitrogen Fixation Mean Rate</v>
      </c>
      <c r="J81" s="32" t="str">
        <f>INDEX(Active!B:B, MATCH(Spearmans2!H81, Active!F:F,0),1)</f>
        <v>Anthropogenic</v>
      </c>
      <c r="K81" s="32" t="str">
        <f>INDEX(Active!K:K, MATCH(Spearmans2!H81, Active!F:F,0),1)</f>
        <v>Mean rate of biological nitrogen fixation from the cultivation of crops in kg N/ha/yr, within AOI</v>
      </c>
      <c r="L81" s="33">
        <v>0.88529682187094005</v>
      </c>
    </row>
    <row r="82" spans="1:12" s="34" customFormat="1" x14ac:dyDescent="0.3">
      <c r="A82" s="30" t="s">
        <v>705</v>
      </c>
      <c r="B82" s="31" t="str">
        <f t="shared" si="2"/>
        <v>MANURE</v>
      </c>
      <c r="C82" s="31" t="str">
        <f>INDEX(Active!J:J, MATCH(Spearmans2!B82, Active!F:F,0),1)</f>
        <v>Mean Manure Application Rate</v>
      </c>
      <c r="D82" s="31" t="str">
        <f>INDEX(Active!B:B, MATCH(Spearmans2!B82, Active!F:F,0),1)</f>
        <v>Anthropogenic</v>
      </c>
      <c r="E82" s="31" t="str">
        <f>INDEX(Active!D:D, MATCH(Spearmans2!B82, Active!F:F,0),1)</f>
        <v>Agriculture</v>
      </c>
      <c r="F82" s="31" t="str">
        <f>INDEX(Active!K:K, MATCH(Spearmans2!B82, Active!F:F,0),1)</f>
        <v>Mean rate of manure application to agricultural land from confined animal feeding operations in kg N/ha/yr, within AOI</v>
      </c>
      <c r="G82" s="32" t="s">
        <v>701</v>
      </c>
      <c r="H82" s="32" t="str">
        <f t="shared" si="3"/>
        <v>FERT</v>
      </c>
      <c r="I82" s="32" t="str">
        <f>INDEX(Active!J:J, MATCH(Spearmans2!H82, Active!F:F,0),1)</f>
        <v>Synthetic Nitrogen Fertilizer Application Mean Rate</v>
      </c>
      <c r="J82" s="32" t="str">
        <f>INDEX(Active!B:B, MATCH(Spearmans2!H82, Active!F:F,0),1)</f>
        <v>Anthropogenic</v>
      </c>
      <c r="K82" s="32" t="str">
        <f>INDEX(Active!K:K, MATCH(Spearmans2!H82, Active!F:F,0),1)</f>
        <v>Mean rate of synthetic nitrogen fertilizer application to agricultural land in kg N/ha/yr, within the AOI</v>
      </c>
      <c r="L82" s="33">
        <v>0.90131614668187698</v>
      </c>
    </row>
    <row r="83" spans="1:12" s="34" customFormat="1" x14ac:dyDescent="0.3">
      <c r="A83" s="30" t="s">
        <v>705</v>
      </c>
      <c r="B83" s="31" t="str">
        <f t="shared" si="2"/>
        <v>MANURE</v>
      </c>
      <c r="C83" s="31" t="str">
        <f>INDEX(Active!J:J, MATCH(Spearmans2!B83, Active!F:F,0),1)</f>
        <v>Mean Manure Application Rate</v>
      </c>
      <c r="D83" s="31" t="str">
        <f>INDEX(Active!B:B, MATCH(Spearmans2!B83, Active!F:F,0),1)</f>
        <v>Anthropogenic</v>
      </c>
      <c r="E83" s="31" t="str">
        <f>INDEX(Active!D:D, MATCH(Spearmans2!B83, Active!F:F,0),1)</f>
        <v>Agriculture</v>
      </c>
      <c r="F83" s="31" t="str">
        <f>INDEX(Active!K:K, MATCH(Spearmans2!B83, Active!F:F,0),1)</f>
        <v>Mean rate of manure application to agricultural land from confined animal feeding operations in kg N/ha/yr, within AOI</v>
      </c>
      <c r="G83" s="32" t="s">
        <v>755</v>
      </c>
      <c r="H83" s="32" t="str">
        <f t="shared" si="3"/>
        <v>WATERINPUT</v>
      </c>
      <c r="I83" s="32" t="str">
        <f>INDEX(Active!J:J, MATCH(Spearmans2!H83, Active!F:F,0),1)</f>
        <v>Water Input</v>
      </c>
      <c r="J83" s="32" t="str">
        <f>INDEX(Active!B:B, MATCH(Spearmans2!H83, Active!F:F,0),1)</f>
        <v>Anthropogenic</v>
      </c>
      <c r="K83" s="32" t="str">
        <f>INDEX(Active!K:K, MATCH(Spearmans2!H83, Active!F:F,0),1)</f>
        <v>Water Input (km2/cm): Ratio of the total area of irrigated land to precipitation within AOI</v>
      </c>
      <c r="L83" s="33">
        <v>0.81392864700471523</v>
      </c>
    </row>
    <row r="84" spans="1:12" s="34" customFormat="1" x14ac:dyDescent="0.3">
      <c r="A84" s="30" t="s">
        <v>705</v>
      </c>
      <c r="B84" s="31" t="str">
        <f t="shared" si="2"/>
        <v>MANURE</v>
      </c>
      <c r="C84" s="31" t="str">
        <f>INDEX(Active!J:J, MATCH(Spearmans2!B84, Active!F:F,0),1)</f>
        <v>Mean Manure Application Rate</v>
      </c>
      <c r="D84" s="31" t="str">
        <f>INDEX(Active!B:B, MATCH(Spearmans2!B84, Active!F:F,0),1)</f>
        <v>Anthropogenic</v>
      </c>
      <c r="E84" s="31" t="str">
        <f>INDEX(Active!D:D, MATCH(Spearmans2!B84, Active!F:F,0),1)</f>
        <v>Agriculture</v>
      </c>
      <c r="F84" s="31" t="str">
        <f>INDEX(Active!K:K, MATCH(Spearmans2!B84, Active!F:F,0),1)</f>
        <v>Mean rate of manure application to agricultural land from confined animal feeding operations in kg N/ha/yr, within AOI</v>
      </c>
      <c r="G84" s="32" t="s">
        <v>756</v>
      </c>
      <c r="H84" s="32" t="str">
        <f t="shared" si="3"/>
        <v>WDRW_LD</v>
      </c>
      <c r="I84" s="32" t="str">
        <f>INDEX(Active!J:J, MATCH(Spearmans2!H84, Active!F:F,0),1)</f>
        <v>Agricultural Fresh Surface-Water Withdraw</v>
      </c>
      <c r="J84" s="32" t="str">
        <f>INDEX(Active!B:B, MATCH(Spearmans2!H84, Active!F:F,0),1)</f>
        <v>Anthropogenic</v>
      </c>
      <c r="K84" s="32" t="str">
        <f>INDEX(Active!K:K, MATCH(Spearmans2!H84, Active!F:F,0),1)</f>
        <v>Total fresh surface-water withdrawals in agricultural land per AOI area (L/day)</v>
      </c>
      <c r="L84" s="33">
        <v>0.83998874339203145</v>
      </c>
    </row>
    <row r="85" spans="1:12" s="43" customFormat="1" x14ac:dyDescent="0.3">
      <c r="A85" s="40" t="s">
        <v>706</v>
      </c>
      <c r="B85" s="40" t="str">
        <f t="shared" si="2"/>
        <v>MAST2008</v>
      </c>
      <c r="C85" s="40" t="str">
        <f>INDEX(Active!J:J, MATCH(Spearmans2!B85, Active!F:F,0),1)</f>
        <v>Mean Annual Stream Temp</v>
      </c>
      <c r="D85" s="40" t="str">
        <f>INDEX(Active!B:B, MATCH(Spearmans2!B85, Active!F:F,0),1)</f>
        <v>Natural</v>
      </c>
      <c r="E85" s="40" t="str">
        <f>INDEX(Active!D:D, MATCH(Spearmans2!B85, Active!F:F,0),1)</f>
        <v>Other</v>
      </c>
      <c r="F85" s="40" t="str">
        <f>INDEX(Active!K:K, MATCH(Spearmans2!B85, Active!F:F,0),1)</f>
        <v>Predicted mean annual stream temperature (Jan-Dec) for year 2008, 2009, 2013, 2014</v>
      </c>
      <c r="G85" s="41" t="s">
        <v>691</v>
      </c>
      <c r="H85" s="41" t="str">
        <f t="shared" si="3"/>
        <v>BFI</v>
      </c>
      <c r="I85" s="41" t="str">
        <f>INDEX(Active!J:J, MATCH(Spearmans2!H85, Active!F:F,0),1)</f>
        <v>Base Flow Index</v>
      </c>
      <c r="J85" s="41" t="str">
        <f>INDEX(Active!B:B, MATCH(Spearmans2!H85, Active!F:F,0),1)</f>
        <v>Natural</v>
      </c>
      <c r="K85" s="41" t="str">
        <f>INDEX(Active!K:K, MATCH(Spearmans2!H85, Active!F:F,0),1)</f>
        <v>Base flow is the component of streamflow that can be attributed to ground-water discharge into streams. The BFI is the ratio of base flow to total flow, expressed as a percentage, within AOI</v>
      </c>
      <c r="L85" s="42">
        <v>-0.85411369895202094</v>
      </c>
    </row>
    <row r="86" spans="1:12" s="47" customFormat="1" x14ac:dyDescent="0.3">
      <c r="A86" s="44" t="s">
        <v>706</v>
      </c>
      <c r="B86" s="44" t="str">
        <f t="shared" si="2"/>
        <v>MAST2008</v>
      </c>
      <c r="C86" s="44" t="str">
        <f>INDEX(Active!J:J, MATCH(Spearmans2!B86, Active!F:F,0),1)</f>
        <v>Mean Annual Stream Temp</v>
      </c>
      <c r="D86" s="44" t="str">
        <f>INDEX(Active!B:B, MATCH(Spearmans2!B86, Active!F:F,0),1)</f>
        <v>Natural</v>
      </c>
      <c r="E86" s="44" t="str">
        <f>INDEX(Active!D:D, MATCH(Spearmans2!B86, Active!F:F,0),1)</f>
        <v>Other</v>
      </c>
      <c r="F86" s="44" t="str">
        <f>INDEX(Active!K:K, MATCH(Spearmans2!B86, Active!F:F,0),1)</f>
        <v>Predicted mean annual stream temperature (Jan-Dec) for year 2008, 2009, 2013, 2014</v>
      </c>
      <c r="G86" s="45" t="s">
        <v>748</v>
      </c>
      <c r="H86" s="45" t="str">
        <f t="shared" si="3"/>
        <v>TMAX8110</v>
      </c>
      <c r="I86" s="45" t="str">
        <f>INDEX(Active!J:J, MATCH(Spearmans2!H86, Active!F:F,0),1)</f>
        <v>30-year Average Annual Normal Maximum Air Temperature</v>
      </c>
      <c r="J86" s="45" t="str">
        <f>INDEX(Active!B:B, MATCH(Spearmans2!H86, Active!F:F,0),1)</f>
        <v>Natural</v>
      </c>
      <c r="K86" s="45" t="str">
        <f>INDEX(Active!K:K, MATCH(Spearmans2!H86, Active!F:F,0),1)</f>
        <v>PRISM climate data - 30-year normal maximum temperature (CÂ°): Annual period: 1981-2010 within the AOI</v>
      </c>
      <c r="L86" s="46">
        <v>0.88466424589453785</v>
      </c>
    </row>
    <row r="87" spans="1:12" s="47" customFormat="1" x14ac:dyDescent="0.3">
      <c r="A87" s="44" t="s">
        <v>706</v>
      </c>
      <c r="B87" s="44" t="str">
        <f t="shared" si="2"/>
        <v>MAST2008</v>
      </c>
      <c r="C87" s="44" t="str">
        <f>INDEX(Active!J:J, MATCH(Spearmans2!B87, Active!F:F,0),1)</f>
        <v>Mean Annual Stream Temp</v>
      </c>
      <c r="D87" s="44" t="str">
        <f>INDEX(Active!B:B, MATCH(Spearmans2!B87, Active!F:F,0),1)</f>
        <v>Natural</v>
      </c>
      <c r="E87" s="44" t="str">
        <f>INDEX(Active!D:D, MATCH(Spearmans2!B87, Active!F:F,0),1)</f>
        <v>Other</v>
      </c>
      <c r="F87" s="44" t="str">
        <f>INDEX(Active!K:K, MATCH(Spearmans2!B87, Active!F:F,0),1)</f>
        <v>Predicted mean annual stream temperature (Jan-Dec) for year 2008, 2009, 2013, 2014</v>
      </c>
      <c r="G87" s="45" t="s">
        <v>749</v>
      </c>
      <c r="H87" s="45" t="str">
        <f t="shared" si="3"/>
        <v>TMAX9120</v>
      </c>
      <c r="I87" s="45" t="str">
        <f>INDEX(Active!J:J, MATCH(Spearmans2!H87, Active!F:F,0),1)</f>
        <v>30-year Average Annual Normal Maximum Air Temperature</v>
      </c>
      <c r="J87" s="45" t="str">
        <f>INDEX(Active!B:B, MATCH(Spearmans2!H87, Active!F:F,0),1)</f>
        <v>Natural</v>
      </c>
      <c r="K87" s="45" t="str">
        <f>INDEX(Active!K:K, MATCH(Spearmans2!H87, Active!F:F,0),1)</f>
        <v>PRISM climate data - 30-year normal maximum temperature (CÂ°): Annual period: 1991-2020 within the AOI</v>
      </c>
      <c r="L87" s="46">
        <v>0.88613876000797676</v>
      </c>
    </row>
    <row r="88" spans="1:12" s="47" customFormat="1" x14ac:dyDescent="0.3">
      <c r="A88" s="44" t="s">
        <v>706</v>
      </c>
      <c r="B88" s="44" t="str">
        <f t="shared" si="2"/>
        <v>MAST2008</v>
      </c>
      <c r="C88" s="44" t="str">
        <f>INDEX(Active!J:J, MATCH(Spearmans2!B88, Active!F:F,0),1)</f>
        <v>Mean Annual Stream Temp</v>
      </c>
      <c r="D88" s="44" t="str">
        <f>INDEX(Active!B:B, MATCH(Spearmans2!B88, Active!F:F,0),1)</f>
        <v>Natural</v>
      </c>
      <c r="E88" s="44" t="str">
        <f>INDEX(Active!D:D, MATCH(Spearmans2!B88, Active!F:F,0),1)</f>
        <v>Other</v>
      </c>
      <c r="F88" s="44" t="str">
        <f>INDEX(Active!K:K, MATCH(Spearmans2!B88, Active!F:F,0),1)</f>
        <v>Predicted mean annual stream temperature (Jan-Dec) for year 2008, 2009, 2013, 2014</v>
      </c>
      <c r="G88" s="45" t="s">
        <v>750</v>
      </c>
      <c r="H88" s="45" t="str">
        <f t="shared" si="3"/>
        <v>TMEAN2008</v>
      </c>
      <c r="I88" s="45" t="str">
        <f>INDEX(Active!J:J, MATCH(Spearmans2!H88, Active!F:F,0),1)</f>
        <v>Mean Air Temperature</v>
      </c>
      <c r="J88" s="45" t="str">
        <f>INDEX(Active!B:B, MATCH(Spearmans2!H88, Active!F:F,0),1)</f>
        <v>Natural</v>
      </c>
      <c r="K88" s="45" t="str">
        <f>INDEX(Active!K:K, MATCH(Spearmans2!H88, Active!F:F,0),1)</f>
        <v>PRISM climate data - Mean temperature (°C) within the AOI. Period: 2008 and 2009</v>
      </c>
      <c r="L88" s="46">
        <v>0.88079203470777512</v>
      </c>
    </row>
    <row r="89" spans="1:12" s="47" customFormat="1" x14ac:dyDescent="0.3">
      <c r="A89" s="44" t="s">
        <v>706</v>
      </c>
      <c r="B89" s="44" t="str">
        <f t="shared" si="2"/>
        <v>MAST2008</v>
      </c>
      <c r="C89" s="44" t="str">
        <f>INDEX(Active!J:J, MATCH(Spearmans2!B89, Active!F:F,0),1)</f>
        <v>Mean Annual Stream Temp</v>
      </c>
      <c r="D89" s="44" t="str">
        <f>INDEX(Active!B:B, MATCH(Spearmans2!B89, Active!F:F,0),1)</f>
        <v>Natural</v>
      </c>
      <c r="E89" s="44" t="str">
        <f>INDEX(Active!D:D, MATCH(Spearmans2!B89, Active!F:F,0),1)</f>
        <v>Other</v>
      </c>
      <c r="F89" s="44" t="str">
        <f>INDEX(Active!K:K, MATCH(Spearmans2!B89, Active!F:F,0),1)</f>
        <v>Predicted mean annual stream temperature (Jan-Dec) for year 2008, 2009, 2013, 2014</v>
      </c>
      <c r="G89" s="45" t="s">
        <v>751</v>
      </c>
      <c r="H89" s="45" t="str">
        <f t="shared" si="3"/>
        <v>TMEAN8110</v>
      </c>
      <c r="I89" s="45" t="str">
        <f>INDEX(Active!J:J, MATCH(Spearmans2!H89, Active!F:F,0),1)</f>
        <v>30-year Mean Annual Air Temperature</v>
      </c>
      <c r="J89" s="45" t="str">
        <f>INDEX(Active!B:B, MATCH(Spearmans2!H89, Active!F:F,0),1)</f>
        <v>Natural</v>
      </c>
      <c r="K89" s="45" t="str">
        <f>INDEX(Active!K:K, MATCH(Spearmans2!H89, Active!F:F,0),1)</f>
        <v>PRISM climate data - 30-year normal mean temperature (CÂ°): Annual period: 1981-2010 within the AOI</v>
      </c>
      <c r="L89" s="46">
        <v>0.88422557884951258</v>
      </c>
    </row>
    <row r="90" spans="1:12" s="47" customFormat="1" x14ac:dyDescent="0.3">
      <c r="A90" s="44" t="s">
        <v>706</v>
      </c>
      <c r="B90" s="44" t="str">
        <f t="shared" si="2"/>
        <v>MAST2008</v>
      </c>
      <c r="C90" s="44" t="str">
        <f>INDEX(Active!J:J, MATCH(Spearmans2!B90, Active!F:F,0),1)</f>
        <v>Mean Annual Stream Temp</v>
      </c>
      <c r="D90" s="44" t="str">
        <f>INDEX(Active!B:B, MATCH(Spearmans2!B90, Active!F:F,0),1)</f>
        <v>Natural</v>
      </c>
      <c r="E90" s="44" t="str">
        <f>INDEX(Active!D:D, MATCH(Spearmans2!B90, Active!F:F,0),1)</f>
        <v>Other</v>
      </c>
      <c r="F90" s="44" t="str">
        <f>INDEX(Active!K:K, MATCH(Spearmans2!B90, Active!F:F,0),1)</f>
        <v>Predicted mean annual stream temperature (Jan-Dec) for year 2008, 2009, 2013, 2014</v>
      </c>
      <c r="G90" s="45" t="s">
        <v>752</v>
      </c>
      <c r="H90" s="45" t="str">
        <f t="shared" si="3"/>
        <v>TMEAN9120</v>
      </c>
      <c r="I90" s="45" t="str">
        <f>INDEX(Active!J:J, MATCH(Spearmans2!H90, Active!F:F,0),1)</f>
        <v>30-year Mean Annual Air Temperature</v>
      </c>
      <c r="J90" s="45" t="str">
        <f>INDEX(Active!B:B, MATCH(Spearmans2!H90, Active!F:F,0),1)</f>
        <v>Natural</v>
      </c>
      <c r="K90" s="45" t="str">
        <f>INDEX(Active!K:K, MATCH(Spearmans2!H90, Active!F:F,0),1)</f>
        <v>PRISM climate data - 30-year normal mean temperature (CÂ°): Annual period: 1991-2020 within the AOI</v>
      </c>
      <c r="L90" s="46">
        <v>0.88793192677917399</v>
      </c>
    </row>
    <row r="91" spans="1:12" s="47" customFormat="1" x14ac:dyDescent="0.3">
      <c r="A91" s="44" t="s">
        <v>706</v>
      </c>
      <c r="B91" s="44" t="str">
        <f t="shared" si="2"/>
        <v>MAST2008</v>
      </c>
      <c r="C91" s="44" t="str">
        <f>INDEX(Active!J:J, MATCH(Spearmans2!B91, Active!F:F,0),1)</f>
        <v>Mean Annual Stream Temp</v>
      </c>
      <c r="D91" s="44" t="str">
        <f>INDEX(Active!B:B, MATCH(Spearmans2!B91, Active!F:F,0),1)</f>
        <v>Natural</v>
      </c>
      <c r="E91" s="44" t="str">
        <f>INDEX(Active!D:D, MATCH(Spearmans2!B91, Active!F:F,0),1)</f>
        <v>Other</v>
      </c>
      <c r="F91" s="44" t="str">
        <f>INDEX(Active!K:K, MATCH(Spearmans2!B91, Active!F:F,0),1)</f>
        <v>Predicted mean annual stream temperature (Jan-Dec) for year 2008, 2009, 2013, 2014</v>
      </c>
      <c r="G91" s="45" t="s">
        <v>753</v>
      </c>
      <c r="H91" s="45" t="str">
        <f t="shared" si="3"/>
        <v>TMIN8110</v>
      </c>
      <c r="I91" s="45" t="str">
        <f>INDEX(Active!J:J, MATCH(Spearmans2!H91, Active!F:F,0),1)</f>
        <v>30-year Average Annual Normal Minimum Air Temperature</v>
      </c>
      <c r="J91" s="45" t="str">
        <f>INDEX(Active!B:B, MATCH(Spearmans2!H91, Active!F:F,0),1)</f>
        <v>Natural</v>
      </c>
      <c r="K91" s="45" t="str">
        <f>INDEX(Active!K:K, MATCH(Spearmans2!H91, Active!F:F,0),1)</f>
        <v>PRISM climate data - 30-year normal minimum temperature (CÂ°): Annual period: 1981-2010 within the AOI</v>
      </c>
      <c r="L91" s="46">
        <v>0.82138919063188887</v>
      </c>
    </row>
    <row r="92" spans="1:12" s="51" customFormat="1" x14ac:dyDescent="0.3">
      <c r="A92" s="48" t="s">
        <v>706</v>
      </c>
      <c r="B92" s="48" t="str">
        <f t="shared" si="2"/>
        <v>MAST2008</v>
      </c>
      <c r="C92" s="48" t="str">
        <f>INDEX(Active!J:J, MATCH(Spearmans2!B92, Active!F:F,0),1)</f>
        <v>Mean Annual Stream Temp</v>
      </c>
      <c r="D92" s="48" t="str">
        <f>INDEX(Active!B:B, MATCH(Spearmans2!B92, Active!F:F,0),1)</f>
        <v>Natural</v>
      </c>
      <c r="E92" s="48" t="str">
        <f>INDEX(Active!D:D, MATCH(Spearmans2!B92, Active!F:F,0),1)</f>
        <v>Other</v>
      </c>
      <c r="F92" s="48" t="str">
        <f>INDEX(Active!K:K, MATCH(Spearmans2!B92, Active!F:F,0),1)</f>
        <v>Predicted mean annual stream temperature (Jan-Dec) for year 2008, 2009, 2013, 2014</v>
      </c>
      <c r="G92" s="49" t="s">
        <v>754</v>
      </c>
      <c r="H92" s="49" t="str">
        <f t="shared" si="3"/>
        <v>TMIN9120</v>
      </c>
      <c r="I92" s="49" t="str">
        <f>INDEX(Active!J:J, MATCH(Spearmans2!H92, Active!F:F,0),1)</f>
        <v>30-year Average Annual Normal Minimum Air Temperature</v>
      </c>
      <c r="J92" s="49" t="str">
        <f>INDEX(Active!B:B, MATCH(Spearmans2!H92, Active!F:F,0),1)</f>
        <v>Natural</v>
      </c>
      <c r="K92" s="49" t="str">
        <f>INDEX(Active!K:K, MATCH(Spearmans2!H92, Active!F:F,0),1)</f>
        <v>PRISM climate data - 30-year normal minimum temperature (CÂ°): Annual period: 1991-2020 within the AOI</v>
      </c>
      <c r="L92" s="50">
        <v>0.82977525619035042</v>
      </c>
    </row>
    <row r="93" spans="1:12" s="34" customFormat="1" x14ac:dyDescent="0.3">
      <c r="A93" s="30" t="s">
        <v>707</v>
      </c>
      <c r="B93" s="31" t="str">
        <f t="shared" si="2"/>
        <v>MGO</v>
      </c>
      <c r="C93" s="31" t="str">
        <f>INDEX(Active!J:J, MATCH(Spearmans2!B93, Active!F:F,0),1)</f>
        <v>Mean Lithological Magnesium Oxide</v>
      </c>
      <c r="D93" s="31" t="str">
        <f>INDEX(Active!B:B, MATCH(Spearmans2!B93, Active!F:F,0),1)</f>
        <v>Natural</v>
      </c>
      <c r="E93" s="31" t="str">
        <f>INDEX(Active!D:D, MATCH(Spearmans2!B93, Active!F:F,0),1)</f>
        <v>Lithology</v>
      </c>
      <c r="F93" s="31" t="str">
        <f>INDEX(Active!K:K, MATCH(Spearmans2!B93, Active!F:F,0),1)</f>
        <v>Mean % of lithological magnesium oxide (MgO) content in surface or near surface geology within AOI</v>
      </c>
      <c r="G93" s="32" t="s">
        <v>692</v>
      </c>
      <c r="H93" s="32" t="str">
        <f t="shared" si="3"/>
        <v>CAO</v>
      </c>
      <c r="I93" s="32" t="str">
        <f>INDEX(Active!J:J, MATCH(Spearmans2!H93, Active!F:F,0),1)</f>
        <v>Mean Lithological Calcium Oxide</v>
      </c>
      <c r="J93" s="32" t="str">
        <f>INDEX(Active!B:B, MATCH(Spearmans2!H93, Active!F:F,0),1)</f>
        <v>Natural</v>
      </c>
      <c r="K93" s="32" t="str">
        <f>INDEX(Active!K:K, MATCH(Spearmans2!H93, Active!F:F,0),1)</f>
        <v>Mean % of lithological calcium oxide (CaO) content in surface or near surface geology within AOI</v>
      </c>
      <c r="L93" s="33">
        <v>0.87442098688746606</v>
      </c>
    </row>
    <row r="94" spans="1:12" s="34" customFormat="1" x14ac:dyDescent="0.3">
      <c r="A94" s="30" t="s">
        <v>707</v>
      </c>
      <c r="B94" s="31" t="str">
        <f t="shared" si="2"/>
        <v>MGO</v>
      </c>
      <c r="C94" s="31" t="str">
        <f>INDEX(Active!J:J, MATCH(Spearmans2!B94, Active!F:F,0),1)</f>
        <v>Mean Lithological Magnesium Oxide</v>
      </c>
      <c r="D94" s="31" t="str">
        <f>INDEX(Active!B:B, MATCH(Spearmans2!B94, Active!F:F,0),1)</f>
        <v>Natural</v>
      </c>
      <c r="E94" s="31" t="str">
        <f>INDEX(Active!D:D, MATCH(Spearmans2!B94, Active!F:F,0),1)</f>
        <v>Lithology</v>
      </c>
      <c r="F94" s="31" t="str">
        <f>INDEX(Active!K:K, MATCH(Spearmans2!B94, Active!F:F,0),1)</f>
        <v>Mean % of lithological magnesium oxide (MgO) content in surface or near surface geology within AOI</v>
      </c>
      <c r="G94" s="32" t="s">
        <v>704</v>
      </c>
      <c r="H94" s="32" t="str">
        <f t="shared" si="3"/>
        <v>K2O</v>
      </c>
      <c r="I94" s="32" t="str">
        <f>INDEX(Active!J:J, MATCH(Spearmans2!H94, Active!F:F,0),1)</f>
        <v>InorgNWetDep</v>
      </c>
      <c r="J94" s="32" t="str">
        <f>INDEX(Active!B:B, MATCH(Spearmans2!H94, Active!F:F,0),1)</f>
        <v>Natural</v>
      </c>
      <c r="K94" s="32" t="str">
        <f>INDEX(Active!K:K, MATCH(Spearmans2!H94, Active!F:F,0),1)</f>
        <v>Mean % of lithological potassium oxide (K2O) content in surface or near surface geology within AOI</v>
      </c>
      <c r="L94" s="33">
        <v>-0.87324201120202216</v>
      </c>
    </row>
    <row r="95" spans="1:12" s="34" customFormat="1" x14ac:dyDescent="0.3">
      <c r="A95" s="30" t="s">
        <v>707</v>
      </c>
      <c r="B95" s="31" t="str">
        <f t="shared" si="2"/>
        <v>MGO</v>
      </c>
      <c r="C95" s="31" t="str">
        <f>INDEX(Active!J:J, MATCH(Spearmans2!B95, Active!F:F,0),1)</f>
        <v>Mean Lithological Magnesium Oxide</v>
      </c>
      <c r="D95" s="31" t="str">
        <f>INDEX(Active!B:B, MATCH(Spearmans2!B95, Active!F:F,0),1)</f>
        <v>Natural</v>
      </c>
      <c r="E95" s="31" t="str">
        <f>INDEX(Active!D:D, MATCH(Spearmans2!B95, Active!F:F,0),1)</f>
        <v>Lithology</v>
      </c>
      <c r="F95" s="31" t="str">
        <f>INDEX(Active!K:K, MATCH(Spearmans2!B95, Active!F:F,0),1)</f>
        <v>Mean % of lithological magnesium oxide (MgO) content in surface or near surface geology within AOI</v>
      </c>
      <c r="G95" s="32" t="s">
        <v>744</v>
      </c>
      <c r="H95" s="32" t="str">
        <f t="shared" si="3"/>
        <v>SIO2</v>
      </c>
      <c r="I95" s="32" t="str">
        <f>INDEX(Active!J:J, MATCH(Spearmans2!H95, Active!F:F,0),1)</f>
        <v>Mean Lithological Silicon Dioxide</v>
      </c>
      <c r="J95" s="32" t="str">
        <f>INDEX(Active!B:B, MATCH(Spearmans2!H95, Active!F:F,0),1)</f>
        <v>Natural</v>
      </c>
      <c r="K95" s="32" t="str">
        <f>INDEX(Active!K:K, MATCH(Spearmans2!H95, Active!F:F,0),1)</f>
        <v>Mean % of lithological silicon dioxide (SiO2) content in surface or near surface geology within AOI</v>
      </c>
      <c r="L95" s="33">
        <v>-0.92940796404283299</v>
      </c>
    </row>
    <row r="96" spans="1:12" s="43" customFormat="1" x14ac:dyDescent="0.3">
      <c r="A96" s="40" t="s">
        <v>708</v>
      </c>
      <c r="B96" s="40" t="str">
        <f t="shared" si="2"/>
        <v>MWST2008</v>
      </c>
      <c r="C96" s="40" t="str">
        <f>INDEX(Active!J:J, MATCH(Spearmans2!B96, Active!F:F,0),1)</f>
        <v>Mean Winter Stream Temp</v>
      </c>
      <c r="D96" s="40" t="str">
        <f>INDEX(Active!B:B, MATCH(Spearmans2!B96, Active!F:F,0),1)</f>
        <v>Natural</v>
      </c>
      <c r="E96" s="40" t="str">
        <f>INDEX(Active!D:D, MATCH(Spearmans2!B96, Active!F:F,0),1)</f>
        <v>Other</v>
      </c>
      <c r="F96" s="40" t="str">
        <f>INDEX(Active!K:K, MATCH(Spearmans2!B96, Active!F:F,0),1)</f>
        <v>Predicted mean winter stream temperature (Jan-Feb) for year 2008, 2009, 2013, 2014</v>
      </c>
      <c r="G96" s="41" t="s">
        <v>698</v>
      </c>
      <c r="H96" s="41" t="str">
        <f t="shared" si="3"/>
        <v>distance</v>
      </c>
      <c r="I96" s="41" t="e">
        <f>INDEX(Active!J:J, MATCH(Spearmans2!H96, Active!F:F,0),1)</f>
        <v>#N/A</v>
      </c>
      <c r="J96" s="41" t="e">
        <f>INDEX(Active!B:B, MATCH(Spearmans2!H96, Active!F:F,0),1)</f>
        <v>#N/A</v>
      </c>
      <c r="K96" s="41" t="e">
        <f>INDEX(Active!K:K, MATCH(Spearmans2!H96, Active!F:F,0),1)</f>
        <v>#N/A</v>
      </c>
      <c r="L96" s="42">
        <v>-0.80498384221074804</v>
      </c>
    </row>
    <row r="97" spans="1:12" s="47" customFormat="1" x14ac:dyDescent="0.3">
      <c r="A97" s="44" t="s">
        <v>708</v>
      </c>
      <c r="B97" s="44" t="str">
        <f t="shared" si="2"/>
        <v>MWST2008</v>
      </c>
      <c r="C97" s="44" t="str">
        <f>INDEX(Active!J:J, MATCH(Spearmans2!B97, Active!F:F,0),1)</f>
        <v>Mean Winter Stream Temp</v>
      </c>
      <c r="D97" s="44" t="str">
        <f>INDEX(Active!B:B, MATCH(Spearmans2!B97, Active!F:F,0),1)</f>
        <v>Natural</v>
      </c>
      <c r="E97" s="44" t="str">
        <f>INDEX(Active!D:D, MATCH(Spearmans2!B97, Active!F:F,0),1)</f>
        <v>Other</v>
      </c>
      <c r="F97" s="44" t="str">
        <f>INDEX(Active!K:K, MATCH(Spearmans2!B97, Active!F:F,0),1)</f>
        <v>Predicted mean winter stream temperature (Jan-Feb) for year 2008, 2009, 2013, 2014</v>
      </c>
      <c r="G97" s="45" t="s">
        <v>699</v>
      </c>
      <c r="H97" s="45" t="str">
        <f t="shared" si="3"/>
        <v>ELEV</v>
      </c>
      <c r="I97" s="45" t="str">
        <f>INDEX(Active!J:J, MATCH(Spearmans2!H97, Active!F:F,0),1)</f>
        <v>Mean Elevation</v>
      </c>
      <c r="J97" s="45" t="str">
        <f>INDEX(Active!B:B, MATCH(Spearmans2!H97, Active!F:F,0),1)</f>
        <v>Natural</v>
      </c>
      <c r="K97" s="45" t="str">
        <f>INDEX(Active!K:K, MATCH(Spearmans2!H97, Active!F:F,0),1)</f>
        <v>Mean AOI elevation (m)</v>
      </c>
      <c r="L97" s="46">
        <v>-0.89194035326464693</v>
      </c>
    </row>
    <row r="98" spans="1:12" s="47" customFormat="1" x14ac:dyDescent="0.3">
      <c r="A98" s="44" t="s">
        <v>708</v>
      </c>
      <c r="B98" s="44" t="str">
        <f t="shared" si="2"/>
        <v>MWST2008</v>
      </c>
      <c r="C98" s="44" t="str">
        <f>INDEX(Active!J:J, MATCH(Spearmans2!B98, Active!F:F,0),1)</f>
        <v>Mean Winter Stream Temp</v>
      </c>
      <c r="D98" s="44" t="str">
        <f>INDEX(Active!B:B, MATCH(Spearmans2!B98, Active!F:F,0),1)</f>
        <v>Natural</v>
      </c>
      <c r="E98" s="44" t="str">
        <f>INDEX(Active!D:D, MATCH(Spearmans2!B98, Active!F:F,0),1)</f>
        <v>Other</v>
      </c>
      <c r="F98" s="44" t="str">
        <f>INDEX(Active!K:K, MATCH(Spearmans2!B98, Active!F:F,0),1)</f>
        <v>Predicted mean winter stream temperature (Jan-Feb) for year 2008, 2009, 2013, 2014</v>
      </c>
      <c r="G98" s="45" t="s">
        <v>750</v>
      </c>
      <c r="H98" s="45" t="str">
        <f t="shared" si="3"/>
        <v>TMEAN2008</v>
      </c>
      <c r="I98" s="45" t="str">
        <f>INDEX(Active!J:J, MATCH(Spearmans2!H98, Active!F:F,0),1)</f>
        <v>Mean Air Temperature</v>
      </c>
      <c r="J98" s="45" t="str">
        <f>INDEX(Active!B:B, MATCH(Spearmans2!H98, Active!F:F,0),1)</f>
        <v>Natural</v>
      </c>
      <c r="K98" s="45" t="str">
        <f>INDEX(Active!K:K, MATCH(Spearmans2!H98, Active!F:F,0),1)</f>
        <v>PRISM climate data - Mean temperature (°C) within the AOI. Period: 2008 and 2009</v>
      </c>
      <c r="L98" s="46">
        <v>0.82321378839995096</v>
      </c>
    </row>
    <row r="99" spans="1:12" s="47" customFormat="1" x14ac:dyDescent="0.3">
      <c r="A99" s="44" t="s">
        <v>708</v>
      </c>
      <c r="B99" s="44" t="str">
        <f t="shared" si="2"/>
        <v>MWST2008</v>
      </c>
      <c r="C99" s="44" t="str">
        <f>INDEX(Active!J:J, MATCH(Spearmans2!B99, Active!F:F,0),1)</f>
        <v>Mean Winter Stream Temp</v>
      </c>
      <c r="D99" s="44" t="str">
        <f>INDEX(Active!B:B, MATCH(Spearmans2!B99, Active!F:F,0),1)</f>
        <v>Natural</v>
      </c>
      <c r="E99" s="44" t="str">
        <f>INDEX(Active!D:D, MATCH(Spearmans2!B99, Active!F:F,0),1)</f>
        <v>Other</v>
      </c>
      <c r="F99" s="44" t="str">
        <f>INDEX(Active!K:K, MATCH(Spearmans2!B99, Active!F:F,0),1)</f>
        <v>Predicted mean winter stream temperature (Jan-Feb) for year 2008, 2009, 2013, 2014</v>
      </c>
      <c r="G99" s="45" t="s">
        <v>751</v>
      </c>
      <c r="H99" s="45" t="str">
        <f t="shared" si="3"/>
        <v>TMEAN8110</v>
      </c>
      <c r="I99" s="45" t="str">
        <f>INDEX(Active!J:J, MATCH(Spearmans2!H99, Active!F:F,0),1)</f>
        <v>30-year Mean Annual Air Temperature</v>
      </c>
      <c r="J99" s="45" t="str">
        <f>INDEX(Active!B:B, MATCH(Spearmans2!H99, Active!F:F,0),1)</f>
        <v>Natural</v>
      </c>
      <c r="K99" s="45" t="str">
        <f>INDEX(Active!K:K, MATCH(Spearmans2!H99, Active!F:F,0),1)</f>
        <v>PRISM climate data - 30-year normal mean temperature (CÂ°): Annual period: 1981-2010 within the AOI</v>
      </c>
      <c r="L99" s="46">
        <v>0.84718736105318926</v>
      </c>
    </row>
    <row r="100" spans="1:12" s="47" customFormat="1" x14ac:dyDescent="0.3">
      <c r="A100" s="44" t="s">
        <v>708</v>
      </c>
      <c r="B100" s="44" t="str">
        <f t="shared" si="2"/>
        <v>MWST2008</v>
      </c>
      <c r="C100" s="44" t="str">
        <f>INDEX(Active!J:J, MATCH(Spearmans2!B100, Active!F:F,0),1)</f>
        <v>Mean Winter Stream Temp</v>
      </c>
      <c r="D100" s="44" t="str">
        <f>INDEX(Active!B:B, MATCH(Spearmans2!B100, Active!F:F,0),1)</f>
        <v>Natural</v>
      </c>
      <c r="E100" s="44" t="str">
        <f>INDEX(Active!D:D, MATCH(Spearmans2!B100, Active!F:F,0),1)</f>
        <v>Other</v>
      </c>
      <c r="F100" s="44" t="str">
        <f>INDEX(Active!K:K, MATCH(Spearmans2!B100, Active!F:F,0),1)</f>
        <v>Predicted mean winter stream temperature (Jan-Feb) for year 2008, 2009, 2013, 2014</v>
      </c>
      <c r="G100" s="45" t="s">
        <v>752</v>
      </c>
      <c r="H100" s="45" t="str">
        <f t="shared" si="3"/>
        <v>TMEAN9120</v>
      </c>
      <c r="I100" s="45" t="str">
        <f>INDEX(Active!J:J, MATCH(Spearmans2!H100, Active!F:F,0),1)</f>
        <v>30-year Mean Annual Air Temperature</v>
      </c>
      <c r="J100" s="45" t="str">
        <f>INDEX(Active!B:B, MATCH(Spearmans2!H100, Active!F:F,0),1)</f>
        <v>Natural</v>
      </c>
      <c r="K100" s="45" t="str">
        <f>INDEX(Active!K:K, MATCH(Spearmans2!H100, Active!F:F,0),1)</f>
        <v>PRISM climate data - 30-year normal mean temperature (CÂ°): Annual period: 1991-2020 within the AOI</v>
      </c>
      <c r="L100" s="46">
        <v>0.8370991751974679</v>
      </c>
    </row>
    <row r="101" spans="1:12" s="47" customFormat="1" x14ac:dyDescent="0.3">
      <c r="A101" s="44" t="s">
        <v>708</v>
      </c>
      <c r="B101" s="44" t="str">
        <f t="shared" si="2"/>
        <v>MWST2008</v>
      </c>
      <c r="C101" s="44" t="str">
        <f>INDEX(Active!J:J, MATCH(Spearmans2!B101, Active!F:F,0),1)</f>
        <v>Mean Winter Stream Temp</v>
      </c>
      <c r="D101" s="44" t="str">
        <f>INDEX(Active!B:B, MATCH(Spearmans2!B101, Active!F:F,0),1)</f>
        <v>Natural</v>
      </c>
      <c r="E101" s="44" t="str">
        <f>INDEX(Active!D:D, MATCH(Spearmans2!B101, Active!F:F,0),1)</f>
        <v>Other</v>
      </c>
      <c r="F101" s="44" t="str">
        <f>INDEX(Active!K:K, MATCH(Spearmans2!B101, Active!F:F,0),1)</f>
        <v>Predicted mean winter stream temperature (Jan-Feb) for year 2008, 2009, 2013, 2014</v>
      </c>
      <c r="G101" s="45" t="s">
        <v>753</v>
      </c>
      <c r="H101" s="45" t="str">
        <f t="shared" si="3"/>
        <v>TMIN8110</v>
      </c>
      <c r="I101" s="45" t="str">
        <f>INDEX(Active!J:J, MATCH(Spearmans2!H101, Active!F:F,0),1)</f>
        <v>30-year Average Annual Normal Minimum Air Temperature</v>
      </c>
      <c r="J101" s="45" t="str">
        <f>INDEX(Active!B:B, MATCH(Spearmans2!H101, Active!F:F,0),1)</f>
        <v>Natural</v>
      </c>
      <c r="K101" s="45" t="str">
        <f>INDEX(Active!K:K, MATCH(Spearmans2!H101, Active!F:F,0),1)</f>
        <v>PRISM climate data - 30-year normal minimum temperature (CÂ°): Annual period: 1981-2010 within the AOI</v>
      </c>
      <c r="L101" s="46">
        <v>0.8849331722324244</v>
      </c>
    </row>
    <row r="102" spans="1:12" s="51" customFormat="1" x14ac:dyDescent="0.3">
      <c r="A102" s="48" t="s">
        <v>708</v>
      </c>
      <c r="B102" s="48" t="str">
        <f t="shared" si="2"/>
        <v>MWST2008</v>
      </c>
      <c r="C102" s="48" t="str">
        <f>INDEX(Active!J:J, MATCH(Spearmans2!B102, Active!F:F,0),1)</f>
        <v>Mean Winter Stream Temp</v>
      </c>
      <c r="D102" s="48" t="str">
        <f>INDEX(Active!B:B, MATCH(Spearmans2!B102, Active!F:F,0),1)</f>
        <v>Natural</v>
      </c>
      <c r="E102" s="48" t="str">
        <f>INDEX(Active!D:D, MATCH(Spearmans2!B102, Active!F:F,0),1)</f>
        <v>Other</v>
      </c>
      <c r="F102" s="48" t="str">
        <f>INDEX(Active!K:K, MATCH(Spearmans2!B102, Active!F:F,0),1)</f>
        <v>Predicted mean winter stream temperature (Jan-Feb) for year 2008, 2009, 2013, 2014</v>
      </c>
      <c r="G102" s="49" t="s">
        <v>754</v>
      </c>
      <c r="H102" s="49" t="str">
        <f t="shared" si="3"/>
        <v>TMIN9120</v>
      </c>
      <c r="I102" s="49" t="str">
        <f>INDEX(Active!J:J, MATCH(Spearmans2!H102, Active!F:F,0),1)</f>
        <v>30-year Average Annual Normal Minimum Air Temperature</v>
      </c>
      <c r="J102" s="49" t="str">
        <f>INDEX(Active!B:B, MATCH(Spearmans2!H102, Active!F:F,0),1)</f>
        <v>Natural</v>
      </c>
      <c r="K102" s="49" t="str">
        <f>INDEX(Active!K:K, MATCH(Spearmans2!H102, Active!F:F,0),1)</f>
        <v>PRISM climate data - 30-year normal minimum temperature (CÂ°): Annual period: 1991-2020 within the AOI</v>
      </c>
      <c r="L102" s="50">
        <v>0.87554982834612016</v>
      </c>
    </row>
    <row r="103" spans="1:12" s="43" customFormat="1" x14ac:dyDescent="0.3">
      <c r="A103" s="40" t="s">
        <v>709</v>
      </c>
      <c r="B103" s="40" t="str">
        <f t="shared" si="2"/>
        <v>NA2O</v>
      </c>
      <c r="C103" s="40" t="str">
        <f>INDEX(Active!J:J, MATCH(Spearmans2!B103, Active!F:F,0),1)</f>
        <v>Mean Lithological Sodium Oxide</v>
      </c>
      <c r="D103" s="40" t="str">
        <f>INDEX(Active!B:B, MATCH(Spearmans2!B103, Active!F:F,0),1)</f>
        <v>Natural</v>
      </c>
      <c r="E103" s="40" t="str">
        <f>INDEX(Active!D:D, MATCH(Spearmans2!B103, Active!F:F,0),1)</f>
        <v>Lithology</v>
      </c>
      <c r="F103" s="40" t="str">
        <f>INDEX(Active!K:K, MATCH(Spearmans2!B103, Active!F:F,0),1)</f>
        <v>Mean % of lithological sodium oxide (Na2O) content in surface or near surface geology within AOI</v>
      </c>
      <c r="G103" s="41" t="s">
        <v>688</v>
      </c>
      <c r="H103" s="41" t="str">
        <f t="shared" si="3"/>
        <v>AL2O3</v>
      </c>
      <c r="I103" s="41" t="str">
        <f>INDEX(Active!J:J, MATCH(Spearmans2!H103, Active!F:F,0),1)</f>
        <v>Mean Lithological Aluminum Oxide</v>
      </c>
      <c r="J103" s="41" t="str">
        <f>INDEX(Active!B:B, MATCH(Spearmans2!H103, Active!F:F,0),1)</f>
        <v>Natural</v>
      </c>
      <c r="K103" s="41" t="str">
        <f>INDEX(Active!K:K, MATCH(Spearmans2!H103, Active!F:F,0),1)</f>
        <v>Mean % of lithological aluminum oxide (Al2O3) content in surface or near surface geology within AOI</v>
      </c>
      <c r="L103" s="42">
        <v>0.94939989138707481</v>
      </c>
    </row>
    <row r="104" spans="1:12" s="51" customFormat="1" x14ac:dyDescent="0.3">
      <c r="A104" s="48" t="s">
        <v>709</v>
      </c>
      <c r="B104" s="48" t="str">
        <f t="shared" si="2"/>
        <v>NA2O</v>
      </c>
      <c r="C104" s="48" t="str">
        <f>INDEX(Active!J:J, MATCH(Spearmans2!B104, Active!F:F,0),1)</f>
        <v>Mean Lithological Sodium Oxide</v>
      </c>
      <c r="D104" s="48" t="str">
        <f>INDEX(Active!B:B, MATCH(Spearmans2!B104, Active!F:F,0),1)</f>
        <v>Natural</v>
      </c>
      <c r="E104" s="48" t="str">
        <f>INDEX(Active!D:D, MATCH(Spearmans2!B104, Active!F:F,0),1)</f>
        <v>Lithology</v>
      </c>
      <c r="F104" s="48" t="str">
        <f>INDEX(Active!K:K, MATCH(Spearmans2!B104, Active!F:F,0),1)</f>
        <v>Mean % of lithological sodium oxide (Na2O) content in surface or near surface geology within AOI</v>
      </c>
      <c r="G104" s="49" t="s">
        <v>717</v>
      </c>
      <c r="H104" s="49" t="str">
        <f t="shared" si="3"/>
        <v>P2O5</v>
      </c>
      <c r="I104" s="49" t="str">
        <f>INDEX(Active!J:J, MATCH(Spearmans2!H104, Active!F:F,0),1)</f>
        <v>Mean Lithological Phosphorous Oxide</v>
      </c>
      <c r="J104" s="49" t="str">
        <f>INDEX(Active!B:B, MATCH(Spearmans2!H104, Active!F:F,0),1)</f>
        <v>Natural</v>
      </c>
      <c r="K104" s="49" t="str">
        <f>INDEX(Active!K:K, MATCH(Spearmans2!H104, Active!F:F,0),1)</f>
        <v>Mean % of lithological phosphorous oxide (P2O5) content in surface or near surface geology within AOI</v>
      </c>
      <c r="L104" s="50">
        <v>0.80427483296067692</v>
      </c>
    </row>
    <row r="105" spans="1:12" s="34" customFormat="1" x14ac:dyDescent="0.3">
      <c r="A105" s="30" t="s">
        <v>710</v>
      </c>
      <c r="B105" s="31" t="str">
        <f t="shared" si="2"/>
        <v>NABD_DENS</v>
      </c>
      <c r="C105" s="31" t="str">
        <f>INDEX(Active!J:J, MATCH(Spearmans2!B105, Active!F:F,0),1)</f>
        <v>NABD Dam Density</v>
      </c>
      <c r="D105" s="31" t="str">
        <f>INDEX(Active!B:B, MATCH(Spearmans2!B105, Active!F:F,0),1)</f>
        <v>Anthropogenic</v>
      </c>
      <c r="E105" s="31" t="str">
        <f>INDEX(Active!D:D, MATCH(Spearmans2!B105, Active!F:F,0),1)</f>
        <v>Dams</v>
      </c>
      <c r="F105" s="31" t="str">
        <f>INDEX(Active!K:K, MATCH(Spearmans2!B105, Active!F:F,0),1)</f>
        <v>Density of georeferenced dams within AOI (dams/ square km)</v>
      </c>
      <c r="G105" s="32" t="s">
        <v>695</v>
      </c>
      <c r="H105" s="32" t="str">
        <f t="shared" si="3"/>
        <v>DAMDENS</v>
      </c>
      <c r="I105" s="32" t="str">
        <f>INDEX(Active!J:J, MATCH(Spearmans2!H105, Active!F:F,0),1)</f>
        <v>Dam Density</v>
      </c>
      <c r="J105" s="32" t="str">
        <f>INDEX(Active!B:B, MATCH(Spearmans2!H105, Active!F:F,0),1)</f>
        <v>Anthropogenic</v>
      </c>
      <c r="K105" s="32" t="str">
        <f>INDEX(Active!K:K, MATCH(Spearmans2!H105, Active!F:F,0),1)</f>
        <v>Density of georeferenced dams within AOI (dams/ square km)</v>
      </c>
      <c r="L105" s="33">
        <v>0.81013500424220664</v>
      </c>
    </row>
    <row r="106" spans="1:12" s="34" customFormat="1" x14ac:dyDescent="0.3">
      <c r="A106" s="30" t="s">
        <v>710</v>
      </c>
      <c r="B106" s="31" t="str">
        <f t="shared" si="2"/>
        <v>NABD_DENS</v>
      </c>
      <c r="C106" s="31" t="str">
        <f>INDEX(Active!J:J, MATCH(Spearmans2!B106, Active!F:F,0),1)</f>
        <v>NABD Dam Density</v>
      </c>
      <c r="D106" s="31" t="str">
        <f>INDEX(Active!B:B, MATCH(Spearmans2!B106, Active!F:F,0),1)</f>
        <v>Anthropogenic</v>
      </c>
      <c r="E106" s="31" t="str">
        <f>INDEX(Active!D:D, MATCH(Spearmans2!B106, Active!F:F,0),1)</f>
        <v>Dams</v>
      </c>
      <c r="F106" s="31" t="str">
        <f>INDEX(Active!K:K, MATCH(Spearmans2!B106, Active!F:F,0),1)</f>
        <v>Density of georeferenced dams within AOI (dams/ square km)</v>
      </c>
      <c r="G106" s="32" t="s">
        <v>696</v>
      </c>
      <c r="H106" s="32" t="str">
        <f t="shared" si="3"/>
        <v>DAMNIDSTOR</v>
      </c>
      <c r="I106" s="32" t="str">
        <f>INDEX(Active!J:J, MATCH(Spearmans2!H106, Active!F:F,0),1)</f>
        <v>Dam Resevoir NID Volume</v>
      </c>
      <c r="J106" s="32" t="str">
        <f>INDEX(Active!B:B, MATCH(Spearmans2!H106, Active!F:F,0),1)</f>
        <v>Anthropogenic</v>
      </c>
      <c r="K106" s="32" t="str">
        <f>INDEX(Active!K:K, MATCH(Spearmans2!H106, Active!F:F,0),1)</f>
        <v>Volume all reservoirs (NID_STORA in NID) per unit area of AOI (cubic meters/square km)</v>
      </c>
      <c r="L106" s="33">
        <v>0.82808796983897381</v>
      </c>
    </row>
    <row r="107" spans="1:12" s="34" customFormat="1" x14ac:dyDescent="0.3">
      <c r="A107" s="30" t="s">
        <v>710</v>
      </c>
      <c r="B107" s="31" t="str">
        <f t="shared" si="2"/>
        <v>NABD_DENS</v>
      </c>
      <c r="C107" s="31" t="str">
        <f>INDEX(Active!J:J, MATCH(Spearmans2!B107, Active!F:F,0),1)</f>
        <v>NABD Dam Density</v>
      </c>
      <c r="D107" s="31" t="str">
        <f>INDEX(Active!B:B, MATCH(Spearmans2!B107, Active!F:F,0),1)</f>
        <v>Anthropogenic</v>
      </c>
      <c r="E107" s="31" t="str">
        <f>INDEX(Active!D:D, MATCH(Spearmans2!B107, Active!F:F,0),1)</f>
        <v>Dams</v>
      </c>
      <c r="F107" s="31" t="str">
        <f>INDEX(Active!K:K, MATCH(Spearmans2!B107, Active!F:F,0),1)</f>
        <v>Density of georeferenced dams within AOI (dams/ square km)</v>
      </c>
      <c r="G107" s="32" t="s">
        <v>697</v>
      </c>
      <c r="H107" s="32" t="str">
        <f t="shared" si="3"/>
        <v>DAMNRMSTOR</v>
      </c>
      <c r="I107" s="32" t="str">
        <f>INDEX(Active!J:J, MATCH(Spearmans2!H107, Active!F:F,0),1)</f>
        <v>Dam Resevoir Normal Volume</v>
      </c>
      <c r="J107" s="32" t="str">
        <f>INDEX(Active!B:B, MATCH(Spearmans2!H107, Active!F:F,0),1)</f>
        <v>Anthropogenic</v>
      </c>
      <c r="K107" s="32" t="str">
        <f>INDEX(Active!K:K, MATCH(Spearmans2!H107, Active!F:F,0),1)</f>
        <v>Volume all reservoirs (NORM_STORA in NID) per unit area of AOI (cubic meters/square km)</v>
      </c>
      <c r="L107" s="33">
        <v>0.82707598038444852</v>
      </c>
    </row>
    <row r="108" spans="1:12" s="34" customFormat="1" x14ac:dyDescent="0.3">
      <c r="A108" s="30" t="s">
        <v>710</v>
      </c>
      <c r="B108" s="31" t="str">
        <f t="shared" si="2"/>
        <v>NABD_DENS</v>
      </c>
      <c r="C108" s="31" t="str">
        <f>INDEX(Active!J:J, MATCH(Spearmans2!B108, Active!F:F,0),1)</f>
        <v>NABD Dam Density</v>
      </c>
      <c r="D108" s="31" t="str">
        <f>INDEX(Active!B:B, MATCH(Spearmans2!B108, Active!F:F,0),1)</f>
        <v>Anthropogenic</v>
      </c>
      <c r="E108" s="31" t="str">
        <f>INDEX(Active!D:D, MATCH(Spearmans2!B108, Active!F:F,0),1)</f>
        <v>Dams</v>
      </c>
      <c r="F108" s="31" t="str">
        <f>INDEX(Active!K:K, MATCH(Spearmans2!B108, Active!F:F,0),1)</f>
        <v>Density of georeferenced dams within AOI (dams/ square km)</v>
      </c>
      <c r="G108" s="32" t="s">
        <v>711</v>
      </c>
      <c r="H108" s="32" t="str">
        <f t="shared" si="3"/>
        <v>NABD_NIDSTOR</v>
      </c>
      <c r="I108" s="32" t="str">
        <f>INDEX(Active!J:J, MATCH(Spearmans2!H108, Active!F:F,0),1)</f>
        <v>NABD NID Reservoir Volume</v>
      </c>
      <c r="J108" s="32" t="str">
        <f>INDEX(Active!B:B, MATCH(Spearmans2!H108, Active!F:F,0),1)</f>
        <v>Anthropogenic</v>
      </c>
      <c r="K108" s="32" t="str">
        <f>INDEX(Active!K:K, MATCH(Spearmans2!H108, Active!F:F,0),1)</f>
        <v>Volume all reservoirs (NID_STORA in NID) per unit area of AOI (cubic meters/square km)</v>
      </c>
      <c r="L108" s="33">
        <v>0.9977156115625947</v>
      </c>
    </row>
    <row r="109" spans="1:12" s="34" customFormat="1" x14ac:dyDescent="0.3">
      <c r="A109" s="30" t="s">
        <v>710</v>
      </c>
      <c r="B109" s="31" t="str">
        <f t="shared" si="2"/>
        <v>NABD_DENS</v>
      </c>
      <c r="C109" s="31" t="str">
        <f>INDEX(Active!J:J, MATCH(Spearmans2!B109, Active!F:F,0),1)</f>
        <v>NABD Dam Density</v>
      </c>
      <c r="D109" s="31" t="str">
        <f>INDEX(Active!B:B, MATCH(Spearmans2!B109, Active!F:F,0),1)</f>
        <v>Anthropogenic</v>
      </c>
      <c r="E109" s="31" t="str">
        <f>INDEX(Active!D:D, MATCH(Spearmans2!B109, Active!F:F,0),1)</f>
        <v>Dams</v>
      </c>
      <c r="F109" s="31" t="str">
        <f>INDEX(Active!K:K, MATCH(Spearmans2!B109, Active!F:F,0),1)</f>
        <v>Density of georeferenced dams within AOI (dams/ square km)</v>
      </c>
      <c r="G109" s="32" t="s">
        <v>712</v>
      </c>
      <c r="H109" s="32" t="str">
        <f t="shared" si="3"/>
        <v>NABD_NRMSTOR</v>
      </c>
      <c r="I109" s="32" t="str">
        <f>INDEX(Active!J:J, MATCH(Spearmans2!H109, Active!F:F,0),1)</f>
        <v>NABD Normal Reservoir Volume</v>
      </c>
      <c r="J109" s="32" t="str">
        <f>INDEX(Active!B:B, MATCH(Spearmans2!H109, Active!F:F,0),1)</f>
        <v>Anthropogenic</v>
      </c>
      <c r="K109" s="32" t="str">
        <f>INDEX(Active!K:K, MATCH(Spearmans2!H109, Active!F:F,0),1)</f>
        <v>Volume all reservoirs (NORM_STORA in NID) per unit area of AOI (cubic meters/square km)</v>
      </c>
      <c r="L109" s="33">
        <v>0.99773107288260421</v>
      </c>
    </row>
    <row r="110" spans="1:12" s="29" customFormat="1" x14ac:dyDescent="0.3">
      <c r="A110" s="25" t="s">
        <v>711</v>
      </c>
      <c r="B110" s="26" t="str">
        <f t="shared" si="2"/>
        <v>NABD_NIDSTOR</v>
      </c>
      <c r="C110" s="26" t="str">
        <f>INDEX(Active!J:J, MATCH(Spearmans2!B110, Active!F:F,0),1)</f>
        <v>NABD NID Reservoir Volume</v>
      </c>
      <c r="D110" s="26" t="str">
        <f>INDEX(Active!B:B, MATCH(Spearmans2!B110, Active!F:F,0),1)</f>
        <v>Anthropogenic</v>
      </c>
      <c r="E110" s="26" t="str">
        <f>INDEX(Active!D:D, MATCH(Spearmans2!B110, Active!F:F,0),1)</f>
        <v>Dams</v>
      </c>
      <c r="F110" s="26" t="str">
        <f>INDEX(Active!K:K, MATCH(Spearmans2!B110, Active!F:F,0),1)</f>
        <v>Volume all reservoirs (NID_STORA in NID) per unit area of AOI (cubic meters/square km)</v>
      </c>
      <c r="G110" s="27" t="s">
        <v>695</v>
      </c>
      <c r="H110" s="27" t="str">
        <f t="shared" si="3"/>
        <v>DAMDENS</v>
      </c>
      <c r="I110" s="27" t="str">
        <f>INDEX(Active!J:J, MATCH(Spearmans2!H110, Active!F:F,0),1)</f>
        <v>Dam Density</v>
      </c>
      <c r="J110" s="27" t="str">
        <f>INDEX(Active!B:B, MATCH(Spearmans2!H110, Active!F:F,0),1)</f>
        <v>Anthropogenic</v>
      </c>
      <c r="K110" s="27" t="str">
        <f>INDEX(Active!K:K, MATCH(Spearmans2!H110, Active!F:F,0),1)</f>
        <v>Density of georeferenced dams within AOI (dams/ square km)</v>
      </c>
      <c r="L110" s="28">
        <v>0.80774202676965878</v>
      </c>
    </row>
    <row r="111" spans="1:12" s="34" customFormat="1" x14ac:dyDescent="0.3">
      <c r="A111" s="30" t="s">
        <v>711</v>
      </c>
      <c r="B111" s="31" t="str">
        <f t="shared" si="2"/>
        <v>NABD_NIDSTOR</v>
      </c>
      <c r="C111" s="31" t="str">
        <f>INDEX(Active!J:J, MATCH(Spearmans2!B111, Active!F:F,0),1)</f>
        <v>NABD NID Reservoir Volume</v>
      </c>
      <c r="D111" s="31" t="str">
        <f>INDEX(Active!B:B, MATCH(Spearmans2!B111, Active!F:F,0),1)</f>
        <v>Anthropogenic</v>
      </c>
      <c r="E111" s="31" t="str">
        <f>INDEX(Active!D:D, MATCH(Spearmans2!B111, Active!F:F,0),1)</f>
        <v>Dams</v>
      </c>
      <c r="F111" s="31" t="str">
        <f>INDEX(Active!K:K, MATCH(Spearmans2!B111, Active!F:F,0),1)</f>
        <v>Volume all reservoirs (NID_STORA in NID) per unit area of AOI (cubic meters/square km)</v>
      </c>
      <c r="G111" s="32" t="s">
        <v>696</v>
      </c>
      <c r="H111" s="32" t="str">
        <f t="shared" si="3"/>
        <v>DAMNIDSTOR</v>
      </c>
      <c r="I111" s="32" t="str">
        <f>INDEX(Active!J:J, MATCH(Spearmans2!H111, Active!F:F,0),1)</f>
        <v>Dam Resevoir NID Volume</v>
      </c>
      <c r="J111" s="32" t="str">
        <f>INDEX(Active!B:B, MATCH(Spearmans2!H111, Active!F:F,0),1)</f>
        <v>Anthropogenic</v>
      </c>
      <c r="K111" s="32" t="str">
        <f>INDEX(Active!K:K, MATCH(Spearmans2!H111, Active!F:F,0),1)</f>
        <v>Volume all reservoirs (NID_STORA in NID) per unit area of AOI (cubic meters/square km)</v>
      </c>
      <c r="L111" s="33">
        <v>0.8307710497347579</v>
      </c>
    </row>
    <row r="112" spans="1:12" s="34" customFormat="1" x14ac:dyDescent="0.3">
      <c r="A112" s="30" t="s">
        <v>711</v>
      </c>
      <c r="B112" s="31" t="str">
        <f t="shared" si="2"/>
        <v>NABD_NIDSTOR</v>
      </c>
      <c r="C112" s="31" t="str">
        <f>INDEX(Active!J:J, MATCH(Spearmans2!B112, Active!F:F,0),1)</f>
        <v>NABD NID Reservoir Volume</v>
      </c>
      <c r="D112" s="31" t="str">
        <f>INDEX(Active!B:B, MATCH(Spearmans2!B112, Active!F:F,0),1)</f>
        <v>Anthropogenic</v>
      </c>
      <c r="E112" s="31" t="str">
        <f>INDEX(Active!D:D, MATCH(Spearmans2!B112, Active!F:F,0),1)</f>
        <v>Dams</v>
      </c>
      <c r="F112" s="31" t="str">
        <f>INDEX(Active!K:K, MATCH(Spearmans2!B112, Active!F:F,0),1)</f>
        <v>Volume all reservoirs (NID_STORA in NID) per unit area of AOI (cubic meters/square km)</v>
      </c>
      <c r="G112" s="32" t="s">
        <v>697</v>
      </c>
      <c r="H112" s="32" t="str">
        <f t="shared" si="3"/>
        <v>DAMNRMSTOR</v>
      </c>
      <c r="I112" s="32" t="str">
        <f>INDEX(Active!J:J, MATCH(Spearmans2!H112, Active!F:F,0),1)</f>
        <v>Dam Resevoir Normal Volume</v>
      </c>
      <c r="J112" s="32" t="str">
        <f>INDEX(Active!B:B, MATCH(Spearmans2!H112, Active!F:F,0),1)</f>
        <v>Anthropogenic</v>
      </c>
      <c r="K112" s="32" t="str">
        <f>INDEX(Active!K:K, MATCH(Spearmans2!H112, Active!F:F,0),1)</f>
        <v>Volume all reservoirs (NORM_STORA in NID) per unit area of AOI (cubic meters/square km)</v>
      </c>
      <c r="L112" s="33">
        <v>0.82972119561488322</v>
      </c>
    </row>
    <row r="113" spans="1:12" s="34" customFormat="1" x14ac:dyDescent="0.3">
      <c r="A113" s="30" t="s">
        <v>711</v>
      </c>
      <c r="B113" s="31" t="str">
        <f t="shared" si="2"/>
        <v>NABD_NIDSTOR</v>
      </c>
      <c r="C113" s="31" t="str">
        <f>INDEX(Active!J:J, MATCH(Spearmans2!B113, Active!F:F,0),1)</f>
        <v>NABD NID Reservoir Volume</v>
      </c>
      <c r="D113" s="31" t="str">
        <f>INDEX(Active!B:B, MATCH(Spearmans2!B113, Active!F:F,0),1)</f>
        <v>Anthropogenic</v>
      </c>
      <c r="E113" s="31" t="str">
        <f>INDEX(Active!D:D, MATCH(Spearmans2!B113, Active!F:F,0),1)</f>
        <v>Dams</v>
      </c>
      <c r="F113" s="31" t="str">
        <f>INDEX(Active!K:K, MATCH(Spearmans2!B113, Active!F:F,0),1)</f>
        <v>Volume all reservoirs (NID_STORA in NID) per unit area of AOI (cubic meters/square km)</v>
      </c>
      <c r="G113" s="32" t="s">
        <v>710</v>
      </c>
      <c r="H113" s="32" t="str">
        <f t="shared" si="3"/>
        <v>NABD_DENS</v>
      </c>
      <c r="I113" s="32" t="str">
        <f>INDEX(Active!J:J, MATCH(Spearmans2!H113, Active!F:F,0),1)</f>
        <v>NABD Dam Density</v>
      </c>
      <c r="J113" s="32" t="str">
        <f>INDEX(Active!B:B, MATCH(Spearmans2!H113, Active!F:F,0),1)</f>
        <v>Anthropogenic</v>
      </c>
      <c r="K113" s="32" t="str">
        <f>INDEX(Active!K:K, MATCH(Spearmans2!H113, Active!F:F,0),1)</f>
        <v>Density of georeferenced dams within AOI (dams/ square km)</v>
      </c>
      <c r="L113" s="33">
        <v>0.9977156115625947</v>
      </c>
    </row>
    <row r="114" spans="1:12" s="39" customFormat="1" x14ac:dyDescent="0.3">
      <c r="A114" s="35" t="s">
        <v>711</v>
      </c>
      <c r="B114" s="36" t="str">
        <f t="shared" si="2"/>
        <v>NABD_NIDSTOR</v>
      </c>
      <c r="C114" s="36" t="str">
        <f>INDEX(Active!J:J, MATCH(Spearmans2!B114, Active!F:F,0),1)</f>
        <v>NABD NID Reservoir Volume</v>
      </c>
      <c r="D114" s="36" t="str">
        <f>INDEX(Active!B:B, MATCH(Spearmans2!B114, Active!F:F,0),1)</f>
        <v>Anthropogenic</v>
      </c>
      <c r="E114" s="36" t="str">
        <f>INDEX(Active!D:D, MATCH(Spearmans2!B114, Active!F:F,0),1)</f>
        <v>Dams</v>
      </c>
      <c r="F114" s="36" t="str">
        <f>INDEX(Active!K:K, MATCH(Spearmans2!B114, Active!F:F,0),1)</f>
        <v>Volume all reservoirs (NID_STORA in NID) per unit area of AOI (cubic meters/square km)</v>
      </c>
      <c r="G114" s="37" t="s">
        <v>712</v>
      </c>
      <c r="H114" s="37" t="str">
        <f t="shared" si="3"/>
        <v>NABD_NRMSTOR</v>
      </c>
      <c r="I114" s="37" t="str">
        <f>INDEX(Active!J:J, MATCH(Spearmans2!H114, Active!F:F,0),1)</f>
        <v>NABD Normal Reservoir Volume</v>
      </c>
      <c r="J114" s="37" t="str">
        <f>INDEX(Active!B:B, MATCH(Spearmans2!H114, Active!F:F,0),1)</f>
        <v>Anthropogenic</v>
      </c>
      <c r="K114" s="37" t="str">
        <f>INDEX(Active!K:K, MATCH(Spearmans2!H114, Active!F:F,0),1)</f>
        <v>Volume all reservoirs (NORM_STORA in NID) per unit area of AOI (cubic meters/square km)</v>
      </c>
      <c r="L114" s="38">
        <v>0.99997909698996656</v>
      </c>
    </row>
    <row r="115" spans="1:12" s="29" customFormat="1" x14ac:dyDescent="0.3">
      <c r="A115" s="25" t="s">
        <v>712</v>
      </c>
      <c r="B115" s="26" t="str">
        <f t="shared" si="2"/>
        <v>NABD_NRMSTOR</v>
      </c>
      <c r="C115" s="26" t="str">
        <f>INDEX(Active!J:J, MATCH(Spearmans2!B115, Active!F:F,0),1)</f>
        <v>NABD Normal Reservoir Volume</v>
      </c>
      <c r="D115" s="26" t="str">
        <f>INDEX(Active!B:B, MATCH(Spearmans2!B115, Active!F:F,0),1)</f>
        <v>Anthropogenic</v>
      </c>
      <c r="E115" s="26" t="str">
        <f>INDEX(Active!D:D, MATCH(Spearmans2!B115, Active!F:F,0),1)</f>
        <v>Dams</v>
      </c>
      <c r="F115" s="26" t="str">
        <f>INDEX(Active!K:K, MATCH(Spearmans2!B115, Active!F:F,0),1)</f>
        <v>Volume all reservoirs (NORM_STORA in NID) per unit area of AOI (cubic meters/square km)</v>
      </c>
      <c r="G115" s="27" t="s">
        <v>695</v>
      </c>
      <c r="H115" s="27" t="str">
        <f t="shared" si="3"/>
        <v>DAMDENS</v>
      </c>
      <c r="I115" s="27" t="str">
        <f>INDEX(Active!J:J, MATCH(Spearmans2!H115, Active!F:F,0),1)</f>
        <v>Dam Density</v>
      </c>
      <c r="J115" s="27" t="str">
        <f>INDEX(Active!B:B, MATCH(Spearmans2!H115, Active!F:F,0),1)</f>
        <v>Anthropogenic</v>
      </c>
      <c r="K115" s="27" t="str">
        <f>INDEX(Active!K:K, MATCH(Spearmans2!H115, Active!F:F,0),1)</f>
        <v>Density of georeferenced dams within AOI (dams/ square km)</v>
      </c>
      <c r="L115" s="28">
        <v>0.80759224348336511</v>
      </c>
    </row>
    <row r="116" spans="1:12" s="34" customFormat="1" x14ac:dyDescent="0.3">
      <c r="A116" s="30" t="s">
        <v>712</v>
      </c>
      <c r="B116" s="31" t="str">
        <f t="shared" si="2"/>
        <v>NABD_NRMSTOR</v>
      </c>
      <c r="C116" s="31" t="str">
        <f>INDEX(Active!J:J, MATCH(Spearmans2!B116, Active!F:F,0),1)</f>
        <v>NABD Normal Reservoir Volume</v>
      </c>
      <c r="D116" s="31" t="str">
        <f>INDEX(Active!B:B, MATCH(Spearmans2!B116, Active!F:F,0),1)</f>
        <v>Anthropogenic</v>
      </c>
      <c r="E116" s="31" t="str">
        <f>INDEX(Active!D:D, MATCH(Spearmans2!B116, Active!F:F,0),1)</f>
        <v>Dams</v>
      </c>
      <c r="F116" s="31" t="str">
        <f>INDEX(Active!K:K, MATCH(Spearmans2!B116, Active!F:F,0),1)</f>
        <v>Volume all reservoirs (NORM_STORA in NID) per unit area of AOI (cubic meters/square km)</v>
      </c>
      <c r="G116" s="32" t="s">
        <v>696</v>
      </c>
      <c r="H116" s="32" t="str">
        <f t="shared" si="3"/>
        <v>DAMNIDSTOR</v>
      </c>
      <c r="I116" s="32" t="str">
        <f>INDEX(Active!J:J, MATCH(Spearmans2!H116, Active!F:F,0),1)</f>
        <v>Dam Resevoir NID Volume</v>
      </c>
      <c r="J116" s="32" t="str">
        <f>INDEX(Active!B:B, MATCH(Spearmans2!H116, Active!F:F,0),1)</f>
        <v>Anthropogenic</v>
      </c>
      <c r="K116" s="32" t="str">
        <f>INDEX(Active!K:K, MATCH(Spearmans2!H116, Active!F:F,0),1)</f>
        <v>Volume all reservoirs (NID_STORA in NID) per unit area of AOI (cubic meters/square km)</v>
      </c>
      <c r="L116" s="33">
        <v>0.83056565011885208</v>
      </c>
    </row>
    <row r="117" spans="1:12" s="34" customFormat="1" x14ac:dyDescent="0.3">
      <c r="A117" s="30" t="s">
        <v>712</v>
      </c>
      <c r="B117" s="31" t="str">
        <f t="shared" si="2"/>
        <v>NABD_NRMSTOR</v>
      </c>
      <c r="C117" s="31" t="str">
        <f>INDEX(Active!J:J, MATCH(Spearmans2!B117, Active!F:F,0),1)</f>
        <v>NABD Normal Reservoir Volume</v>
      </c>
      <c r="D117" s="31" t="str">
        <f>INDEX(Active!B:B, MATCH(Spearmans2!B117, Active!F:F,0),1)</f>
        <v>Anthropogenic</v>
      </c>
      <c r="E117" s="31" t="str">
        <f>INDEX(Active!D:D, MATCH(Spearmans2!B117, Active!F:F,0),1)</f>
        <v>Dams</v>
      </c>
      <c r="F117" s="31" t="str">
        <f>INDEX(Active!K:K, MATCH(Spearmans2!B117, Active!F:F,0),1)</f>
        <v>Volume all reservoirs (NORM_STORA in NID) per unit area of AOI (cubic meters/square km)</v>
      </c>
      <c r="G117" s="32" t="s">
        <v>697</v>
      </c>
      <c r="H117" s="32" t="str">
        <f t="shared" si="3"/>
        <v>DAMNRMSTOR</v>
      </c>
      <c r="I117" s="32" t="str">
        <f>INDEX(Active!J:J, MATCH(Spearmans2!H117, Active!F:F,0),1)</f>
        <v>Dam Resevoir Normal Volume</v>
      </c>
      <c r="J117" s="32" t="str">
        <f>INDEX(Active!B:B, MATCH(Spearmans2!H117, Active!F:F,0),1)</f>
        <v>Anthropogenic</v>
      </c>
      <c r="K117" s="32" t="str">
        <f>INDEX(Active!K:K, MATCH(Spearmans2!H117, Active!F:F,0),1)</f>
        <v>Volume all reservoirs (NORM_STORA in NID) per unit area of AOI (cubic meters/square km)</v>
      </c>
      <c r="L117" s="33">
        <v>0.82956135570606637</v>
      </c>
    </row>
    <row r="118" spans="1:12" s="34" customFormat="1" x14ac:dyDescent="0.3">
      <c r="A118" s="30" t="s">
        <v>712</v>
      </c>
      <c r="B118" s="31" t="str">
        <f t="shared" si="2"/>
        <v>NABD_NRMSTOR</v>
      </c>
      <c r="C118" s="31" t="str">
        <f>INDEX(Active!J:J, MATCH(Spearmans2!B118, Active!F:F,0),1)</f>
        <v>NABD Normal Reservoir Volume</v>
      </c>
      <c r="D118" s="31" t="str">
        <f>INDEX(Active!B:B, MATCH(Spearmans2!B118, Active!F:F,0),1)</f>
        <v>Anthropogenic</v>
      </c>
      <c r="E118" s="31" t="str">
        <f>INDEX(Active!D:D, MATCH(Spearmans2!B118, Active!F:F,0),1)</f>
        <v>Dams</v>
      </c>
      <c r="F118" s="31" t="str">
        <f>INDEX(Active!K:K, MATCH(Spearmans2!B118, Active!F:F,0),1)</f>
        <v>Volume all reservoirs (NORM_STORA in NID) per unit area of AOI (cubic meters/square km)</v>
      </c>
      <c r="G118" s="32" t="s">
        <v>710</v>
      </c>
      <c r="H118" s="32" t="str">
        <f t="shared" si="3"/>
        <v>NABD_DENS</v>
      </c>
      <c r="I118" s="32" t="str">
        <f>INDEX(Active!J:J, MATCH(Spearmans2!H118, Active!F:F,0),1)</f>
        <v>NABD Dam Density</v>
      </c>
      <c r="J118" s="32" t="str">
        <f>INDEX(Active!B:B, MATCH(Spearmans2!H118, Active!F:F,0),1)</f>
        <v>Anthropogenic</v>
      </c>
      <c r="K118" s="32" t="str">
        <f>INDEX(Active!K:K, MATCH(Spearmans2!H118, Active!F:F,0),1)</f>
        <v>Density of georeferenced dams within AOI (dams/ square km)</v>
      </c>
      <c r="L118" s="33">
        <v>0.99773107288260421</v>
      </c>
    </row>
    <row r="119" spans="1:12" s="39" customFormat="1" x14ac:dyDescent="0.3">
      <c r="A119" s="35" t="s">
        <v>712</v>
      </c>
      <c r="B119" s="36" t="str">
        <f t="shared" si="2"/>
        <v>NABD_NRMSTOR</v>
      </c>
      <c r="C119" s="36" t="str">
        <f>INDEX(Active!J:J, MATCH(Spearmans2!B119, Active!F:F,0),1)</f>
        <v>NABD Normal Reservoir Volume</v>
      </c>
      <c r="D119" s="36" t="str">
        <f>INDEX(Active!B:B, MATCH(Spearmans2!B119, Active!F:F,0),1)</f>
        <v>Anthropogenic</v>
      </c>
      <c r="E119" s="36" t="str">
        <f>INDEX(Active!D:D, MATCH(Spearmans2!B119, Active!F:F,0),1)</f>
        <v>Dams</v>
      </c>
      <c r="F119" s="36" t="str">
        <f>INDEX(Active!K:K, MATCH(Spearmans2!B119, Active!F:F,0),1)</f>
        <v>Volume all reservoirs (NORM_STORA in NID) per unit area of AOI (cubic meters/square km)</v>
      </c>
      <c r="G119" s="37" t="s">
        <v>711</v>
      </c>
      <c r="H119" s="37" t="str">
        <f t="shared" si="3"/>
        <v>NABD_NIDSTOR</v>
      </c>
      <c r="I119" s="37" t="str">
        <f>INDEX(Active!J:J, MATCH(Spearmans2!H119, Active!F:F,0),1)</f>
        <v>NABD NID Reservoir Volume</v>
      </c>
      <c r="J119" s="37" t="str">
        <f>INDEX(Active!B:B, MATCH(Spearmans2!H119, Active!F:F,0),1)</f>
        <v>Anthropogenic</v>
      </c>
      <c r="K119" s="37" t="str">
        <f>INDEX(Active!K:K, MATCH(Spearmans2!H119, Active!F:F,0),1)</f>
        <v>Volume all reservoirs (NID_STORA in NID) per unit area of AOI (cubic meters/square km)</v>
      </c>
      <c r="L119" s="38">
        <v>0.99997909698996656</v>
      </c>
    </row>
    <row r="120" spans="1:12" s="47" customFormat="1" x14ac:dyDescent="0.3">
      <c r="A120" s="44" t="s">
        <v>713</v>
      </c>
      <c r="B120" s="44" t="str">
        <f t="shared" si="2"/>
        <v>NANI</v>
      </c>
      <c r="C120" s="44" t="str">
        <f>INDEX(Active!J:J, MATCH(Spearmans2!B120, Active!F:F,0),1)</f>
        <v>Anthropogenic Nitrogen</v>
      </c>
      <c r="D120" s="44" t="str">
        <f>INDEX(Active!B:B, MATCH(Spearmans2!B120, Active!F:F,0),1)</f>
        <v>Anthropogenic</v>
      </c>
      <c r="E120" s="44" t="str">
        <f>INDEX(Active!D:D, MATCH(Spearmans2!B120, Active!F:F,0),1)</f>
        <v>Agriculture</v>
      </c>
      <c r="F120" s="44" t="str">
        <f>INDEX(Active!K:K, MATCH(Spearmans2!B120, Active!F:F,0),1)</f>
        <v>Net Anthropogenic Nitrogen within AOI: farm fertilizer + urban fertilizer + NOx deposition + CBNF + Human and Livestock food - crop N content - livestock N content</v>
      </c>
      <c r="G120" s="45" t="s">
        <v>690</v>
      </c>
      <c r="H120" s="45" t="str">
        <f t="shared" si="3"/>
        <v>BANKFULLWIDTH</v>
      </c>
      <c r="I120" s="45" t="str">
        <f>INDEX(Active!J:J, MATCH(Spearmans2!H120, Active!F:F,0),1)</f>
        <v>Predicted Bankfull Width</v>
      </c>
      <c r="J120" s="45" t="str">
        <f>INDEX(Active!B:B, MATCH(Spearmans2!H120, Active!F:F,0),1)</f>
        <v>Natural</v>
      </c>
      <c r="K120" s="45" t="str">
        <f>INDEX(Active!K:K, MATCH(Spearmans2!H120, Active!F:F,0),1)</f>
        <v>Predicted bankfull width: distance from left to right bank at bankfull stage where the potential water height would spill outside of the channel and into the floodplain</v>
      </c>
      <c r="L120" s="46">
        <v>0.81943002820513799</v>
      </c>
    </row>
    <row r="121" spans="1:12" s="47" customFormat="1" x14ac:dyDescent="0.3">
      <c r="A121" s="44" t="s">
        <v>713</v>
      </c>
      <c r="B121" s="44" t="str">
        <f t="shared" si="2"/>
        <v>NANI</v>
      </c>
      <c r="C121" s="44" t="str">
        <f>INDEX(Active!J:J, MATCH(Spearmans2!B121, Active!F:F,0),1)</f>
        <v>Anthropogenic Nitrogen</v>
      </c>
      <c r="D121" s="44" t="str">
        <f>INDEX(Active!B:B, MATCH(Spearmans2!B121, Active!F:F,0),1)</f>
        <v>Anthropogenic</v>
      </c>
      <c r="E121" s="44" t="str">
        <f>INDEX(Active!D:D, MATCH(Spearmans2!B121, Active!F:F,0),1)</f>
        <v>Agriculture</v>
      </c>
      <c r="F121" s="44" t="str">
        <f>INDEX(Active!K:K, MATCH(Spearmans2!B121, Active!F:F,0),1)</f>
        <v>Net Anthropogenic Nitrogen within AOI: farm fertilizer + urban fertilizer + NOx deposition + CBNF + Human and Livestock food - crop N content - livestock N content</v>
      </c>
      <c r="G121" s="45" t="s">
        <v>716</v>
      </c>
      <c r="H121" s="45" t="str">
        <f t="shared" si="3"/>
        <v>NSURP</v>
      </c>
      <c r="I121" s="45" t="str">
        <f>INDEX(Active!J:J, MATCH(Spearmans2!H121, Active!F:F,0),1)</f>
        <v>Nitrogen Surplus</v>
      </c>
      <c r="J121" s="45" t="str">
        <f>INDEX(Active!B:B, MATCH(Spearmans2!H121, Active!F:F,0),1)</f>
        <v>Anthropogenic</v>
      </c>
      <c r="K121" s="45" t="str">
        <f>INDEX(Active!K:K, MATCH(Spearmans2!H121, Active!F:F,0),1)</f>
        <v>Nitrogen Surplus (kg N / yr) per AOI - excluding biological N Fixation</v>
      </c>
      <c r="L121" s="46">
        <v>0.99652632096338178</v>
      </c>
    </row>
    <row r="122" spans="1:12" s="47" customFormat="1" x14ac:dyDescent="0.3">
      <c r="A122" s="44" t="s">
        <v>713</v>
      </c>
      <c r="B122" s="44" t="str">
        <f t="shared" si="2"/>
        <v>NANI</v>
      </c>
      <c r="C122" s="44" t="str">
        <f>INDEX(Active!J:J, MATCH(Spearmans2!B122, Active!F:F,0),1)</f>
        <v>Anthropogenic Nitrogen</v>
      </c>
      <c r="D122" s="44" t="str">
        <f>INDEX(Active!B:B, MATCH(Spearmans2!B122, Active!F:F,0),1)</f>
        <v>Anthropogenic</v>
      </c>
      <c r="E122" s="44" t="str">
        <f>INDEX(Active!D:D, MATCH(Spearmans2!B122, Active!F:F,0),1)</f>
        <v>Agriculture</v>
      </c>
      <c r="F122" s="44" t="str">
        <f>INDEX(Active!K:K, MATCH(Spearmans2!B122, Active!F:F,0),1)</f>
        <v>Net Anthropogenic Nitrogen within AOI: farm fertilizer + urban fertilizer + NOx deposition + CBNF + Human and Livestock food - crop N content - livestock N content</v>
      </c>
      <c r="G122" s="45" t="s">
        <v>747</v>
      </c>
      <c r="H122" s="45" t="str">
        <f t="shared" si="3"/>
        <v>THALWEGDEPTH</v>
      </c>
      <c r="I122" s="45" t="e">
        <f>INDEX(Active!J:J, MATCH(Spearmans2!H122, Active!F:F,0),1)</f>
        <v>#N/A</v>
      </c>
      <c r="J122" s="45" t="e">
        <f>INDEX(Active!B:B, MATCH(Spearmans2!H122, Active!F:F,0),1)</f>
        <v>#N/A</v>
      </c>
      <c r="K122" s="45" t="e">
        <f>INDEX(Active!K:K, MATCH(Spearmans2!H122, Active!F:F,0),1)</f>
        <v>#N/A</v>
      </c>
      <c r="L122" s="46">
        <v>0.85891134416819626</v>
      </c>
    </row>
    <row r="123" spans="1:12" s="47" customFormat="1" x14ac:dyDescent="0.3">
      <c r="A123" s="44" t="s">
        <v>713</v>
      </c>
      <c r="B123" s="44" t="str">
        <f t="shared" si="2"/>
        <v>NANI</v>
      </c>
      <c r="C123" s="44" t="str">
        <f>INDEX(Active!J:J, MATCH(Spearmans2!B123, Active!F:F,0),1)</f>
        <v>Anthropogenic Nitrogen</v>
      </c>
      <c r="D123" s="44" t="str">
        <f>INDEX(Active!B:B, MATCH(Spearmans2!B123, Active!F:F,0),1)</f>
        <v>Anthropogenic</v>
      </c>
      <c r="E123" s="44" t="str">
        <f>INDEX(Active!D:D, MATCH(Spearmans2!B123, Active!F:F,0),1)</f>
        <v>Agriculture</v>
      </c>
      <c r="F123" s="44" t="str">
        <f>INDEX(Active!K:K, MATCH(Spearmans2!B123, Active!F:F,0),1)</f>
        <v>Net Anthropogenic Nitrogen within AOI: farm fertilizer + urban fertilizer + NOx deposition + CBNF + Human and Livestock food - crop N content - livestock N content</v>
      </c>
      <c r="G123" s="45" t="s">
        <v>757</v>
      </c>
      <c r="H123" s="45" t="str">
        <f t="shared" si="3"/>
        <v>WETTEDWIDTH</v>
      </c>
      <c r="I123" s="45" t="str">
        <f>INDEX(Active!J:J, MATCH(Spearmans2!H123, Active!F:F,0),1)</f>
        <v>Predicted Wetted Width</v>
      </c>
      <c r="J123" s="45" t="str">
        <f>INDEX(Active!B:B, MATCH(Spearmans2!H123, Active!F:F,0),1)</f>
        <v>Natural</v>
      </c>
      <c r="K123" s="45" t="str">
        <f>INDEX(Active!K:K, MATCH(Spearmans2!H123, Active!F:F,0),1)</f>
        <v>Predicted wetted width: distance of the waters edge from left to right bank</v>
      </c>
      <c r="L123" s="46">
        <v>0.83176954946004689</v>
      </c>
    </row>
    <row r="124" spans="1:12" s="43" customFormat="1" x14ac:dyDescent="0.3">
      <c r="A124" s="40" t="s">
        <v>714</v>
      </c>
      <c r="B124" s="40" t="str">
        <f t="shared" si="2"/>
        <v>NH42008</v>
      </c>
      <c r="C124" s="40" t="str">
        <f>INDEX(Active!J:J, MATCH(Spearmans2!B124, Active!F:F,0),1)</f>
        <v>Mean annual Precipitation-Weighted NH4 Mean</v>
      </c>
      <c r="D124" s="40" t="str">
        <f>INDEX(Active!B:B, MATCH(Spearmans2!B124, Active!F:F,0),1)</f>
        <v>Natural</v>
      </c>
      <c r="E124" s="40" t="str">
        <f>INDEX(Active!D:D, MATCH(Spearmans2!B124, Active!F:F,0),1)</f>
        <v>Climate</v>
      </c>
      <c r="F124" s="40" t="str">
        <f>INDEX(Active!K:K, MATCH(Spearmans2!B124, Active!F:F,0),1)</f>
        <v>Annual gradient map of precipitation-weighted mean deposition for ammonium ion concentration wet deposition for 2008 in kg of NH4/ha/yr, within AOI</v>
      </c>
      <c r="G124" s="41" t="s">
        <v>703</v>
      </c>
      <c r="H124" s="41" t="str">
        <f t="shared" si="3"/>
        <v>INORGNWETDEP2008</v>
      </c>
      <c r="I124" s="41" t="str">
        <f>INDEX(Active!J:J, MATCH(Spearmans2!H124, Active!F:F,0),1)</f>
        <v>Mean Annual Precipitation-Weighted Nitrogen</v>
      </c>
      <c r="J124" s="41" t="str">
        <f>INDEX(Active!B:B, MATCH(Spearmans2!H124, Active!F:F,0),1)</f>
        <v>Natural</v>
      </c>
      <c r="K124" s="41" t="str">
        <f>INDEX(Active!K:K, MATCH(Spearmans2!H124, Active!F:F,0),1)</f>
        <v>Annual gradient map of precipitation-weighted mean deposition for inorganic nitrogen wet deposition from nitrate and ammonium for 2008 in kg of N/ha/yr, within AOI</v>
      </c>
      <c r="L124" s="42">
        <v>0.99260464360365241</v>
      </c>
    </row>
    <row r="125" spans="1:12" s="47" customFormat="1" x14ac:dyDescent="0.3">
      <c r="A125" s="44" t="s">
        <v>714</v>
      </c>
      <c r="B125" s="44" t="str">
        <f t="shared" si="2"/>
        <v>NH42008</v>
      </c>
      <c r="C125" s="44" t="str">
        <f>INDEX(Active!J:J, MATCH(Spearmans2!B125, Active!F:F,0),1)</f>
        <v>Mean annual Precipitation-Weighted NH4 Mean</v>
      </c>
      <c r="D125" s="44" t="str">
        <f>INDEX(Active!B:B, MATCH(Spearmans2!B125, Active!F:F,0),1)</f>
        <v>Natural</v>
      </c>
      <c r="E125" s="44" t="str">
        <f>INDEX(Active!D:D, MATCH(Spearmans2!B125, Active!F:F,0),1)</f>
        <v>Climate</v>
      </c>
      <c r="F125" s="44" t="str">
        <f>INDEX(Active!K:K, MATCH(Spearmans2!B125, Active!F:F,0),1)</f>
        <v>Annual gradient map of precipitation-weighted mean deposition for ammonium ion concentration wet deposition for 2008 in kg of NH4/ha/yr, within AOI</v>
      </c>
      <c r="G125" s="45" t="s">
        <v>715</v>
      </c>
      <c r="H125" s="45" t="str">
        <f t="shared" si="3"/>
        <v>NO32008</v>
      </c>
      <c r="I125" s="45" t="str">
        <f>INDEX(Active!J:J, MATCH(Spearmans2!H125, Active!F:F,0),1)</f>
        <v>Mean Annual Precipitation-Weighted NO3 Mean</v>
      </c>
      <c r="J125" s="45" t="str">
        <f>INDEX(Active!B:B, MATCH(Spearmans2!H125, Active!F:F,0),1)</f>
        <v>Natural</v>
      </c>
      <c r="K125" s="45" t="str">
        <f>INDEX(Active!K:K, MATCH(Spearmans2!H125, Active!F:F,0),1)</f>
        <v>Annual gradient map of precipitation-weighted mean deposition for nitrate ion concentration wet deposition for 2008 in kg of NO3/ha/yr, within AOI</v>
      </c>
      <c r="L125" s="46">
        <v>0.95397361024400618</v>
      </c>
    </row>
    <row r="126" spans="1:12" s="51" customFormat="1" x14ac:dyDescent="0.3">
      <c r="A126" s="48" t="s">
        <v>714</v>
      </c>
      <c r="B126" s="48" t="str">
        <f t="shared" si="2"/>
        <v>NH42008</v>
      </c>
      <c r="C126" s="48" t="str">
        <f>INDEX(Active!J:J, MATCH(Spearmans2!B126, Active!F:F,0),1)</f>
        <v>Mean annual Precipitation-Weighted NH4 Mean</v>
      </c>
      <c r="D126" s="48" t="str">
        <f>INDEX(Active!B:B, MATCH(Spearmans2!B126, Active!F:F,0),1)</f>
        <v>Natural</v>
      </c>
      <c r="E126" s="48" t="str">
        <f>INDEX(Active!D:D, MATCH(Spearmans2!B126, Active!F:F,0),1)</f>
        <v>Climate</v>
      </c>
      <c r="F126" s="48" t="str">
        <f>INDEX(Active!K:K, MATCH(Spearmans2!B126, Active!F:F,0),1)</f>
        <v>Annual gradient map of precipitation-weighted mean deposition for ammonium ion concentration wet deposition for 2008 in kg of NH4/ha/yr, within AOI</v>
      </c>
      <c r="G126" s="49" t="s">
        <v>745</v>
      </c>
      <c r="H126" s="49" t="str">
        <f t="shared" si="3"/>
        <v>SN2008</v>
      </c>
      <c r="I126" s="49" t="str">
        <f>INDEX(Active!J:J, MATCH(Spearmans2!H126, Active!F:F,0),1)</f>
        <v>Annual Mean Sulfur and Nitrogen Wet Deposition</v>
      </c>
      <c r="J126" s="49" t="str">
        <f>INDEX(Active!B:B, MATCH(Spearmans2!H126, Active!F:F,0),1)</f>
        <v>Natural</v>
      </c>
      <c r="K126" s="49" t="str">
        <f>INDEX(Active!K:K, MATCH(Spearmans2!H126, Active!F:F,0),1)</f>
        <v>Annual gradient map of precipitation-weighted mean deposition for average sulfur &amp; nitrogen wet deposition for 2008 in kg of S+N/ha/yr, within AOI</v>
      </c>
      <c r="L126" s="50">
        <v>0.97377888593990491</v>
      </c>
    </row>
    <row r="127" spans="1:12" s="29" customFormat="1" x14ac:dyDescent="0.3">
      <c r="A127" s="25" t="s">
        <v>715</v>
      </c>
      <c r="B127" s="26" t="str">
        <f t="shared" si="2"/>
        <v>NO32008</v>
      </c>
      <c r="C127" s="26" t="str">
        <f>INDEX(Active!J:J, MATCH(Spearmans2!B127, Active!F:F,0),1)</f>
        <v>Mean Annual Precipitation-Weighted NO3 Mean</v>
      </c>
      <c r="D127" s="26" t="str">
        <f>INDEX(Active!B:B, MATCH(Spearmans2!B127, Active!F:F,0),1)</f>
        <v>Natural</v>
      </c>
      <c r="E127" s="26" t="str">
        <f>INDEX(Active!D:D, MATCH(Spearmans2!B127, Active!F:F,0),1)</f>
        <v>Climate</v>
      </c>
      <c r="F127" s="26" t="str">
        <f>INDEX(Active!K:K, MATCH(Spearmans2!B127, Active!F:F,0),1)</f>
        <v>Annual gradient map of precipitation-weighted mean deposition for nitrate ion concentration wet deposition for 2008 in kg of NO3/ha/yr, within AOI</v>
      </c>
      <c r="G127" s="27" t="s">
        <v>703</v>
      </c>
      <c r="H127" s="27" t="str">
        <f t="shared" si="3"/>
        <v>INORGNWETDEP2008</v>
      </c>
      <c r="I127" s="27" t="str">
        <f>INDEX(Active!J:J, MATCH(Spearmans2!H127, Active!F:F,0),1)</f>
        <v>Mean Annual Precipitation-Weighted Nitrogen</v>
      </c>
      <c r="J127" s="27" t="str">
        <f>INDEX(Active!B:B, MATCH(Spearmans2!H127, Active!F:F,0),1)</f>
        <v>Natural</v>
      </c>
      <c r="K127" s="27" t="str">
        <f>INDEX(Active!K:K, MATCH(Spearmans2!H127, Active!F:F,0),1)</f>
        <v>Annual gradient map of precipitation-weighted mean deposition for inorganic nitrogen wet deposition from nitrate and ammonium for 2008 in kg of N/ha/yr, within AOI</v>
      </c>
      <c r="L127" s="28">
        <v>0.98238027619392909</v>
      </c>
    </row>
    <row r="128" spans="1:12" s="34" customFormat="1" x14ac:dyDescent="0.3">
      <c r="A128" s="30" t="s">
        <v>715</v>
      </c>
      <c r="B128" s="31" t="str">
        <f t="shared" si="2"/>
        <v>NO32008</v>
      </c>
      <c r="C128" s="31" t="str">
        <f>INDEX(Active!J:J, MATCH(Spearmans2!B128, Active!F:F,0),1)</f>
        <v>Mean Annual Precipitation-Weighted NO3 Mean</v>
      </c>
      <c r="D128" s="31" t="str">
        <f>INDEX(Active!B:B, MATCH(Spearmans2!B128, Active!F:F,0),1)</f>
        <v>Natural</v>
      </c>
      <c r="E128" s="31" t="str">
        <f>INDEX(Active!D:D, MATCH(Spearmans2!B128, Active!F:F,0),1)</f>
        <v>Climate</v>
      </c>
      <c r="F128" s="31" t="str">
        <f>INDEX(Active!K:K, MATCH(Spearmans2!B128, Active!F:F,0),1)</f>
        <v>Annual gradient map of precipitation-weighted mean deposition for nitrate ion concentration wet deposition for 2008 in kg of NO3/ha/yr, within AOI</v>
      </c>
      <c r="G128" s="32" t="s">
        <v>714</v>
      </c>
      <c r="H128" s="32" t="str">
        <f t="shared" si="3"/>
        <v>NH42008</v>
      </c>
      <c r="I128" s="32" t="str">
        <f>INDEX(Active!J:J, MATCH(Spearmans2!H128, Active!F:F,0),1)</f>
        <v>Mean annual Precipitation-Weighted NH4 Mean</v>
      </c>
      <c r="J128" s="32" t="str">
        <f>INDEX(Active!B:B, MATCH(Spearmans2!H128, Active!F:F,0),1)</f>
        <v>Natural</v>
      </c>
      <c r="K128" s="32" t="str">
        <f>INDEX(Active!K:K, MATCH(Spearmans2!H128, Active!F:F,0),1)</f>
        <v>Annual gradient map of precipitation-weighted mean deposition for ammonium ion concentration wet deposition for 2008 in kg of NH4/ha/yr, within AOI</v>
      </c>
      <c r="L128" s="33">
        <v>0.95397361024400618</v>
      </c>
    </row>
    <row r="129" spans="1:12" s="34" customFormat="1" x14ac:dyDescent="0.3">
      <c r="A129" s="30" t="s">
        <v>715</v>
      </c>
      <c r="B129" s="31" t="str">
        <f t="shared" si="2"/>
        <v>NO32008</v>
      </c>
      <c r="C129" s="31" t="str">
        <f>INDEX(Active!J:J, MATCH(Spearmans2!B129, Active!F:F,0),1)</f>
        <v>Mean Annual Precipitation-Weighted NO3 Mean</v>
      </c>
      <c r="D129" s="31" t="str">
        <f>INDEX(Active!B:B, MATCH(Spearmans2!B129, Active!F:F,0),1)</f>
        <v>Natural</v>
      </c>
      <c r="E129" s="31" t="str">
        <f>INDEX(Active!D:D, MATCH(Spearmans2!B129, Active!F:F,0),1)</f>
        <v>Climate</v>
      </c>
      <c r="F129" s="31" t="str">
        <f>INDEX(Active!K:K, MATCH(Spearmans2!B129, Active!F:F,0),1)</f>
        <v>Annual gradient map of precipitation-weighted mean deposition for nitrate ion concentration wet deposition for 2008 in kg of NO3/ha/yr, within AOI</v>
      </c>
      <c r="G129" s="32" t="s">
        <v>738</v>
      </c>
      <c r="H129" s="32" t="str">
        <f t="shared" si="3"/>
        <v>PRECIP_MINUS_EVT</v>
      </c>
      <c r="I129" s="32" t="str">
        <f>INDEX(Active!J:J, MATCH(Spearmans2!H129, Active!F:F,0),1)</f>
        <v>Surplus Precipitation</v>
      </c>
      <c r="J129" s="32" t="str">
        <f>INDEX(Active!B:B, MATCH(Spearmans2!H129, Active!F:F,0),1)</f>
        <v>Natural</v>
      </c>
      <c r="K129" s="32" t="str">
        <f>INDEX(Active!K:K, MATCH(Spearmans2!H129,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129" s="33">
        <v>0.85660198361277895</v>
      </c>
    </row>
    <row r="130" spans="1:12" s="34" customFormat="1" x14ac:dyDescent="0.3">
      <c r="A130" s="30" t="s">
        <v>715</v>
      </c>
      <c r="B130" s="31" t="str">
        <f t="shared" ref="B130:B193" si="4">IF(RIGHT(A130,2)="WS", LEFT(A130,LEN(A130)-2),A130)</f>
        <v>NO32008</v>
      </c>
      <c r="C130" s="31" t="str">
        <f>INDEX(Active!J:J, MATCH(Spearmans2!B130, Active!F:F,0),1)</f>
        <v>Mean Annual Precipitation-Weighted NO3 Mean</v>
      </c>
      <c r="D130" s="31" t="str">
        <f>INDEX(Active!B:B, MATCH(Spearmans2!B130, Active!F:F,0),1)</f>
        <v>Natural</v>
      </c>
      <c r="E130" s="31" t="str">
        <f>INDEX(Active!D:D, MATCH(Spearmans2!B130, Active!F:F,0),1)</f>
        <v>Climate</v>
      </c>
      <c r="F130" s="31" t="str">
        <f>INDEX(Active!K:K, MATCH(Spearmans2!B130, Active!F:F,0),1)</f>
        <v>Annual gradient map of precipitation-weighted mean deposition for nitrate ion concentration wet deposition for 2008 in kg of NO3/ha/yr, within AOI</v>
      </c>
      <c r="G130" s="32" t="s">
        <v>739</v>
      </c>
      <c r="H130" s="32" t="str">
        <f t="shared" ref="H130:H193" si="5">IF(RIGHT(G130,2)="WS", LEFT(G130,LEN(G130)-2),G130)</f>
        <v>PRECIP2008</v>
      </c>
      <c r="I130" s="32" t="str">
        <f>INDEX(Active!J:J, MATCH(Spearmans2!H130, Active!F:F,0),1)</f>
        <v>Mean Precipitation</v>
      </c>
      <c r="J130" s="32" t="str">
        <f>INDEX(Active!B:B, MATCH(Spearmans2!H130, Active!F:F,0),1)</f>
        <v>Natural</v>
      </c>
      <c r="K130" s="32" t="str">
        <f>INDEX(Active!K:K, MATCH(Spearmans2!H130, Active!F:F,0),1)</f>
        <v>PRISM climate data - 30-year normal mean precipitation (mm): Annual period: 2008 and 2009 within the AOI</v>
      </c>
      <c r="L130" s="33">
        <v>0.83614377621567193</v>
      </c>
    </row>
    <row r="131" spans="1:12" s="34" customFormat="1" x14ac:dyDescent="0.3">
      <c r="A131" s="30" t="s">
        <v>715</v>
      </c>
      <c r="B131" s="31" t="str">
        <f t="shared" si="4"/>
        <v>NO32008</v>
      </c>
      <c r="C131" s="31" t="str">
        <f>INDEX(Active!J:J, MATCH(Spearmans2!B131, Active!F:F,0),1)</f>
        <v>Mean Annual Precipitation-Weighted NO3 Mean</v>
      </c>
      <c r="D131" s="31" t="str">
        <f>INDEX(Active!B:B, MATCH(Spearmans2!B131, Active!F:F,0),1)</f>
        <v>Natural</v>
      </c>
      <c r="E131" s="31" t="str">
        <f>INDEX(Active!D:D, MATCH(Spearmans2!B131, Active!F:F,0),1)</f>
        <v>Climate</v>
      </c>
      <c r="F131" s="31" t="str">
        <f>INDEX(Active!K:K, MATCH(Spearmans2!B131, Active!F:F,0),1)</f>
        <v>Annual gradient map of precipitation-weighted mean deposition for nitrate ion concentration wet deposition for 2008 in kg of NO3/ha/yr, within AOI</v>
      </c>
      <c r="G131" s="32" t="s">
        <v>740</v>
      </c>
      <c r="H131" s="32" t="str">
        <f t="shared" si="5"/>
        <v>PRECIP8110</v>
      </c>
      <c r="I131" s="32" t="str">
        <f>INDEX(Active!J:J, MATCH(Spearmans2!H131, Active!F:F,0),1)</f>
        <v>30-year Mean Annual Precipitation</v>
      </c>
      <c r="J131" s="32" t="str">
        <f>INDEX(Active!B:B, MATCH(Spearmans2!H131, Active!F:F,0),1)</f>
        <v>Natural</v>
      </c>
      <c r="K131" s="32" t="str">
        <f>INDEX(Active!K:K, MATCH(Spearmans2!H131, Active!F:F,0),1)</f>
        <v>PRISM climate data - 30-year normal mean precipitation (mm): Annual period: 1981-2010 within AOI</v>
      </c>
      <c r="L131" s="33">
        <v>0.85116464184681717</v>
      </c>
    </row>
    <row r="132" spans="1:12" s="34" customFormat="1" x14ac:dyDescent="0.3">
      <c r="A132" s="30" t="s">
        <v>715</v>
      </c>
      <c r="B132" s="31" t="str">
        <f t="shared" si="4"/>
        <v>NO32008</v>
      </c>
      <c r="C132" s="31" t="str">
        <f>INDEX(Active!J:J, MATCH(Spearmans2!B132, Active!F:F,0),1)</f>
        <v>Mean Annual Precipitation-Weighted NO3 Mean</v>
      </c>
      <c r="D132" s="31" t="str">
        <f>INDEX(Active!B:B, MATCH(Spearmans2!B132, Active!F:F,0),1)</f>
        <v>Natural</v>
      </c>
      <c r="E132" s="31" t="str">
        <f>INDEX(Active!D:D, MATCH(Spearmans2!B132, Active!F:F,0),1)</f>
        <v>Climate</v>
      </c>
      <c r="F132" s="31" t="str">
        <f>INDEX(Active!K:K, MATCH(Spearmans2!B132, Active!F:F,0),1)</f>
        <v>Annual gradient map of precipitation-weighted mean deposition for nitrate ion concentration wet deposition for 2008 in kg of NO3/ha/yr, within AOI</v>
      </c>
      <c r="G132" s="32" t="s">
        <v>741</v>
      </c>
      <c r="H132" s="32" t="str">
        <f t="shared" si="5"/>
        <v>PRECIP9120</v>
      </c>
      <c r="I132" s="32" t="str">
        <f>INDEX(Active!J:J, MATCH(Spearmans2!H132, Active!F:F,0),1)</f>
        <v>30-year Mean Annual Precipitation</v>
      </c>
      <c r="J132" s="32" t="str">
        <f>INDEX(Active!B:B, MATCH(Spearmans2!H132, Active!F:F,0),1)</f>
        <v>Natural</v>
      </c>
      <c r="K132" s="32" t="str">
        <f>INDEX(Active!K:K, MATCH(Spearmans2!H132, Active!F:F,0),1)</f>
        <v>PRISM climate data - 30-year normal mean precipitation (mm): Annual period: 1991-2020 within the AOI</v>
      </c>
      <c r="L132" s="33">
        <v>0.85581784919456372</v>
      </c>
    </row>
    <row r="133" spans="1:12" s="39" customFormat="1" x14ac:dyDescent="0.3">
      <c r="A133" s="35" t="s">
        <v>715</v>
      </c>
      <c r="B133" s="36" t="str">
        <f t="shared" si="4"/>
        <v>NO32008</v>
      </c>
      <c r="C133" s="36" t="str">
        <f>INDEX(Active!J:J, MATCH(Spearmans2!B133, Active!F:F,0),1)</f>
        <v>Mean Annual Precipitation-Weighted NO3 Mean</v>
      </c>
      <c r="D133" s="36" t="str">
        <f>INDEX(Active!B:B, MATCH(Spearmans2!B133, Active!F:F,0),1)</f>
        <v>Natural</v>
      </c>
      <c r="E133" s="36" t="str">
        <f>INDEX(Active!D:D, MATCH(Spearmans2!B133, Active!F:F,0),1)</f>
        <v>Climate</v>
      </c>
      <c r="F133" s="36" t="str">
        <f>INDEX(Active!K:K, MATCH(Spearmans2!B133, Active!F:F,0),1)</f>
        <v>Annual gradient map of precipitation-weighted mean deposition for nitrate ion concentration wet deposition for 2008 in kg of NO3/ha/yr, within AOI</v>
      </c>
      <c r="G133" s="37" t="s">
        <v>745</v>
      </c>
      <c r="H133" s="37" t="str">
        <f t="shared" si="5"/>
        <v>SN2008</v>
      </c>
      <c r="I133" s="37" t="str">
        <f>INDEX(Active!J:J, MATCH(Spearmans2!H133, Active!F:F,0),1)</f>
        <v>Annual Mean Sulfur and Nitrogen Wet Deposition</v>
      </c>
      <c r="J133" s="37" t="str">
        <f>INDEX(Active!B:B, MATCH(Spearmans2!H133, Active!F:F,0),1)</f>
        <v>Natural</v>
      </c>
      <c r="K133" s="37" t="str">
        <f>INDEX(Active!K:K, MATCH(Spearmans2!H133, Active!F:F,0),1)</f>
        <v>Annual gradient map of precipitation-weighted mean deposition for average sulfur &amp; nitrogen wet deposition for 2008 in kg of S+N/ha/yr, within AOI</v>
      </c>
      <c r="L133" s="38">
        <v>0.97521642818443532</v>
      </c>
    </row>
    <row r="134" spans="1:12" s="34" customFormat="1" x14ac:dyDescent="0.3">
      <c r="A134" s="30" t="s">
        <v>716</v>
      </c>
      <c r="B134" s="31" t="str">
        <f t="shared" si="4"/>
        <v>NSURP</v>
      </c>
      <c r="C134" s="31" t="str">
        <f>INDEX(Active!J:J, MATCH(Spearmans2!B134, Active!F:F,0),1)</f>
        <v>Nitrogen Surplus</v>
      </c>
      <c r="D134" s="31" t="str">
        <f>INDEX(Active!B:B, MATCH(Spearmans2!B134, Active!F:F,0),1)</f>
        <v>Anthropogenic</v>
      </c>
      <c r="E134" s="31" t="str">
        <f>INDEX(Active!D:D, MATCH(Spearmans2!B134, Active!F:F,0),1)</f>
        <v>Agriculture</v>
      </c>
      <c r="F134" s="31" t="str">
        <f>INDEX(Active!K:K, MATCH(Spearmans2!B134, Active!F:F,0),1)</f>
        <v>Nitrogen Surplus (kg N / yr) per AOI - excluding biological N Fixation</v>
      </c>
      <c r="G134" s="32" t="s">
        <v>689</v>
      </c>
      <c r="H134" s="32" t="str">
        <f t="shared" si="5"/>
        <v>BANKFULLDEPTH</v>
      </c>
      <c r="I134" s="32" t="str">
        <f>INDEX(Active!J:J, MATCH(Spearmans2!H134, Active!F:F,0),1)</f>
        <v>Predicted Bankfull Depth</v>
      </c>
      <c r="J134" s="32" t="str">
        <f>INDEX(Active!B:B, MATCH(Spearmans2!H134, Active!F:F,0),1)</f>
        <v>Natural</v>
      </c>
      <c r="K134" s="32" t="str">
        <f>INDEX(Active!K:K, MATCH(Spearmans2!H134, Active!F:F,0),1)</f>
        <v>Predicted bankfull depth: thalweg depth plus bankfull height, which is the height from the water surface to the bankfull stage</v>
      </c>
      <c r="L134" s="33">
        <v>0.81101431356622078</v>
      </c>
    </row>
    <row r="135" spans="1:12" s="34" customFormat="1" x14ac:dyDescent="0.3">
      <c r="A135" s="30" t="s">
        <v>716</v>
      </c>
      <c r="B135" s="31" t="str">
        <f t="shared" si="4"/>
        <v>NSURP</v>
      </c>
      <c r="C135" s="31" t="str">
        <f>INDEX(Active!J:J, MATCH(Spearmans2!B135, Active!F:F,0),1)</f>
        <v>Nitrogen Surplus</v>
      </c>
      <c r="D135" s="31" t="str">
        <f>INDEX(Active!B:B, MATCH(Spearmans2!B135, Active!F:F,0),1)</f>
        <v>Anthropogenic</v>
      </c>
      <c r="E135" s="31" t="str">
        <f>INDEX(Active!D:D, MATCH(Spearmans2!B135, Active!F:F,0),1)</f>
        <v>Agriculture</v>
      </c>
      <c r="F135" s="31" t="str">
        <f>INDEX(Active!K:K, MATCH(Spearmans2!B135, Active!F:F,0),1)</f>
        <v>Nitrogen Surplus (kg N / yr) per AOI - excluding biological N Fixation</v>
      </c>
      <c r="G135" s="32" t="s">
        <v>690</v>
      </c>
      <c r="H135" s="32" t="str">
        <f t="shared" si="5"/>
        <v>BANKFULLWIDTH</v>
      </c>
      <c r="I135" s="32" t="str">
        <f>INDEX(Active!J:J, MATCH(Spearmans2!H135, Active!F:F,0),1)</f>
        <v>Predicted Bankfull Width</v>
      </c>
      <c r="J135" s="32" t="str">
        <f>INDEX(Active!B:B, MATCH(Spearmans2!H135, Active!F:F,0),1)</f>
        <v>Natural</v>
      </c>
      <c r="K135" s="32" t="str">
        <f>INDEX(Active!K:K, MATCH(Spearmans2!H135, Active!F:F,0),1)</f>
        <v>Predicted bankfull width: distance from left to right bank at bankfull stage where the potential water height would spill outside of the channel and into the floodplain</v>
      </c>
      <c r="L135" s="33">
        <v>0.82702686025163075</v>
      </c>
    </row>
    <row r="136" spans="1:12" s="34" customFormat="1" x14ac:dyDescent="0.3">
      <c r="A136" s="30" t="s">
        <v>716</v>
      </c>
      <c r="B136" s="31" t="str">
        <f t="shared" si="4"/>
        <v>NSURP</v>
      </c>
      <c r="C136" s="31" t="str">
        <f>INDEX(Active!J:J, MATCH(Spearmans2!B136, Active!F:F,0),1)</f>
        <v>Nitrogen Surplus</v>
      </c>
      <c r="D136" s="31" t="str">
        <f>INDEX(Active!B:B, MATCH(Spearmans2!B136, Active!F:F,0),1)</f>
        <v>Anthropogenic</v>
      </c>
      <c r="E136" s="31" t="str">
        <f>INDEX(Active!D:D, MATCH(Spearmans2!B136, Active!F:F,0),1)</f>
        <v>Agriculture</v>
      </c>
      <c r="F136" s="31" t="str">
        <f>INDEX(Active!K:K, MATCH(Spearmans2!B136, Active!F:F,0),1)</f>
        <v>Nitrogen Surplus (kg N / yr) per AOI - excluding biological N Fixation</v>
      </c>
      <c r="G136" s="32" t="s">
        <v>713</v>
      </c>
      <c r="H136" s="32" t="str">
        <f t="shared" si="5"/>
        <v>NANI</v>
      </c>
      <c r="I136" s="32" t="str">
        <f>INDEX(Active!J:J, MATCH(Spearmans2!H136, Active!F:F,0),1)</f>
        <v>Anthropogenic Nitrogen</v>
      </c>
      <c r="J136" s="32" t="str">
        <f>INDEX(Active!B:B, MATCH(Spearmans2!H136, Active!F:F,0),1)</f>
        <v>Anthropogenic</v>
      </c>
      <c r="K136" s="32" t="str">
        <f>INDEX(Active!K:K, MATCH(Spearmans2!H136, Active!F:F,0),1)</f>
        <v>Net Anthropogenic Nitrogen within AOI: farm fertilizer + urban fertilizer + NOx deposition + CBNF + Human and Livestock food - crop N content - livestock N content</v>
      </c>
      <c r="L136" s="33">
        <v>0.99652632096338178</v>
      </c>
    </row>
    <row r="137" spans="1:12" s="34" customFormat="1" x14ac:dyDescent="0.3">
      <c r="A137" s="30" t="s">
        <v>716</v>
      </c>
      <c r="B137" s="31" t="str">
        <f t="shared" si="4"/>
        <v>NSURP</v>
      </c>
      <c r="C137" s="31" t="str">
        <f>INDEX(Active!J:J, MATCH(Spearmans2!B137, Active!F:F,0),1)</f>
        <v>Nitrogen Surplus</v>
      </c>
      <c r="D137" s="31" t="str">
        <f>INDEX(Active!B:B, MATCH(Spearmans2!B137, Active!F:F,0),1)</f>
        <v>Anthropogenic</v>
      </c>
      <c r="E137" s="31" t="str">
        <f>INDEX(Active!D:D, MATCH(Spearmans2!B137, Active!F:F,0),1)</f>
        <v>Agriculture</v>
      </c>
      <c r="F137" s="31" t="str">
        <f>INDEX(Active!K:K, MATCH(Spearmans2!B137, Active!F:F,0),1)</f>
        <v>Nitrogen Surplus (kg N / yr) per AOI - excluding biological N Fixation</v>
      </c>
      <c r="G137" s="32" t="s">
        <v>747</v>
      </c>
      <c r="H137" s="32" t="str">
        <f t="shared" si="5"/>
        <v>THALWEGDEPTH</v>
      </c>
      <c r="I137" s="32" t="e">
        <f>INDEX(Active!J:J, MATCH(Spearmans2!H137, Active!F:F,0),1)</f>
        <v>#N/A</v>
      </c>
      <c r="J137" s="32" t="e">
        <f>INDEX(Active!B:B, MATCH(Spearmans2!H137, Active!F:F,0),1)</f>
        <v>#N/A</v>
      </c>
      <c r="K137" s="32" t="e">
        <f>INDEX(Active!K:K, MATCH(Spearmans2!H137, Active!F:F,0),1)</f>
        <v>#N/A</v>
      </c>
      <c r="L137" s="33">
        <v>0.86790684427662945</v>
      </c>
    </row>
    <row r="138" spans="1:12" s="34" customFormat="1" x14ac:dyDescent="0.3">
      <c r="A138" s="30" t="s">
        <v>716</v>
      </c>
      <c r="B138" s="31" t="str">
        <f t="shared" si="4"/>
        <v>NSURP</v>
      </c>
      <c r="C138" s="31" t="str">
        <f>INDEX(Active!J:J, MATCH(Spearmans2!B138, Active!F:F,0),1)</f>
        <v>Nitrogen Surplus</v>
      </c>
      <c r="D138" s="31" t="str">
        <f>INDEX(Active!B:B, MATCH(Spearmans2!B138, Active!F:F,0),1)</f>
        <v>Anthropogenic</v>
      </c>
      <c r="E138" s="31" t="str">
        <f>INDEX(Active!D:D, MATCH(Spearmans2!B138, Active!F:F,0),1)</f>
        <v>Agriculture</v>
      </c>
      <c r="F138" s="31" t="str">
        <f>INDEX(Active!K:K, MATCH(Spearmans2!B138, Active!F:F,0),1)</f>
        <v>Nitrogen Surplus (kg N / yr) per AOI - excluding biological N Fixation</v>
      </c>
      <c r="G138" s="32" t="s">
        <v>757</v>
      </c>
      <c r="H138" s="32" t="str">
        <f t="shared" si="5"/>
        <v>WETTEDWIDTH</v>
      </c>
      <c r="I138" s="32" t="str">
        <f>INDEX(Active!J:J, MATCH(Spearmans2!H138, Active!F:F,0),1)</f>
        <v>Predicted Wetted Width</v>
      </c>
      <c r="J138" s="32" t="str">
        <f>INDEX(Active!B:B, MATCH(Spearmans2!H138, Active!F:F,0),1)</f>
        <v>Natural</v>
      </c>
      <c r="K138" s="32" t="str">
        <f>INDEX(Active!K:K, MATCH(Spearmans2!H138, Active!F:F,0),1)</f>
        <v>Predicted wetted width: distance of the waters edge from left to right bank</v>
      </c>
      <c r="L138" s="33">
        <v>0.83735711194790285</v>
      </c>
    </row>
    <row r="139" spans="1:12" s="29" customFormat="1" x14ac:dyDescent="0.3">
      <c r="A139" s="25" t="s">
        <v>717</v>
      </c>
      <c r="B139" s="26" t="str">
        <f t="shared" si="4"/>
        <v>P2O5</v>
      </c>
      <c r="C139" s="26" t="str">
        <f>INDEX(Active!J:J, MATCH(Spearmans2!B139, Active!F:F,0),1)</f>
        <v>Mean Lithological Phosphorous Oxide</v>
      </c>
      <c r="D139" s="26" t="str">
        <f>INDEX(Active!B:B, MATCH(Spearmans2!B139, Active!F:F,0),1)</f>
        <v>Natural</v>
      </c>
      <c r="E139" s="26" t="str">
        <f>INDEX(Active!D:D, MATCH(Spearmans2!B139, Active!F:F,0),1)</f>
        <v>Lithology</v>
      </c>
      <c r="F139" s="26" t="str">
        <f>INDEX(Active!K:K, MATCH(Spearmans2!B139, Active!F:F,0),1)</f>
        <v>Mean % of lithological phosphorous oxide (P2O5) content in surface or near surface geology within AOI</v>
      </c>
      <c r="G139" s="27" t="s">
        <v>688</v>
      </c>
      <c r="H139" s="27" t="str">
        <f t="shared" si="5"/>
        <v>AL2O3</v>
      </c>
      <c r="I139" s="27" t="str">
        <f>INDEX(Active!J:J, MATCH(Spearmans2!H139, Active!F:F,0),1)</f>
        <v>Mean Lithological Aluminum Oxide</v>
      </c>
      <c r="J139" s="27" t="str">
        <f>INDEX(Active!B:B, MATCH(Spearmans2!H139, Active!F:F,0),1)</f>
        <v>Natural</v>
      </c>
      <c r="K139" s="27" t="str">
        <f>INDEX(Active!K:K, MATCH(Spearmans2!H139, Active!F:F,0),1)</f>
        <v>Mean % of lithological aluminum oxide (Al2O3) content in surface or near surface geology within AOI</v>
      </c>
      <c r="L139" s="28">
        <v>0.88677450618325082</v>
      </c>
    </row>
    <row r="140" spans="1:12" s="34" customFormat="1" x14ac:dyDescent="0.3">
      <c r="A140" s="30" t="s">
        <v>717</v>
      </c>
      <c r="B140" s="31" t="str">
        <f t="shared" si="4"/>
        <v>P2O5</v>
      </c>
      <c r="C140" s="31" t="str">
        <f>INDEX(Active!J:J, MATCH(Spearmans2!B140, Active!F:F,0),1)</f>
        <v>Mean Lithological Phosphorous Oxide</v>
      </c>
      <c r="D140" s="31" t="str">
        <f>INDEX(Active!B:B, MATCH(Spearmans2!B140, Active!F:F,0),1)</f>
        <v>Natural</v>
      </c>
      <c r="E140" s="31" t="str">
        <f>INDEX(Active!D:D, MATCH(Spearmans2!B140, Active!F:F,0),1)</f>
        <v>Lithology</v>
      </c>
      <c r="F140" s="31" t="str">
        <f>INDEX(Active!K:K, MATCH(Spearmans2!B140, Active!F:F,0),1)</f>
        <v>Mean % of lithological phosphorous oxide (P2O5) content in surface or near surface geology within AOI</v>
      </c>
      <c r="G140" s="32" t="s">
        <v>692</v>
      </c>
      <c r="H140" s="32" t="str">
        <f t="shared" si="5"/>
        <v>CAO</v>
      </c>
      <c r="I140" s="32" t="str">
        <f>INDEX(Active!J:J, MATCH(Spearmans2!H140, Active!F:F,0),1)</f>
        <v>Mean Lithological Calcium Oxide</v>
      </c>
      <c r="J140" s="32" t="str">
        <f>INDEX(Active!B:B, MATCH(Spearmans2!H140, Active!F:F,0),1)</f>
        <v>Natural</v>
      </c>
      <c r="K140" s="32" t="str">
        <f>INDEX(Active!K:K, MATCH(Spearmans2!H140, Active!F:F,0),1)</f>
        <v>Mean % of lithological calcium oxide (CaO) content in surface or near surface geology within AOI</v>
      </c>
      <c r="L140" s="33">
        <v>0.94415439288792224</v>
      </c>
    </row>
    <row r="141" spans="1:12" s="34" customFormat="1" x14ac:dyDescent="0.3">
      <c r="A141" s="30" t="s">
        <v>717</v>
      </c>
      <c r="B141" s="31" t="str">
        <f t="shared" si="4"/>
        <v>P2O5</v>
      </c>
      <c r="C141" s="31" t="str">
        <f>INDEX(Active!J:J, MATCH(Spearmans2!B141, Active!F:F,0),1)</f>
        <v>Mean Lithological Phosphorous Oxide</v>
      </c>
      <c r="D141" s="31" t="str">
        <f>INDEX(Active!B:B, MATCH(Spearmans2!B141, Active!F:F,0),1)</f>
        <v>Natural</v>
      </c>
      <c r="E141" s="31" t="str">
        <f>INDEX(Active!D:D, MATCH(Spearmans2!B141, Active!F:F,0),1)</f>
        <v>Lithology</v>
      </c>
      <c r="F141" s="31" t="str">
        <f>INDEX(Active!K:K, MATCH(Spearmans2!B141, Active!F:F,0),1)</f>
        <v>Mean % of lithological phosphorous oxide (P2O5) content in surface or near surface geology within AOI</v>
      </c>
      <c r="G141" s="32" t="s">
        <v>709</v>
      </c>
      <c r="H141" s="32" t="str">
        <f t="shared" si="5"/>
        <v>NA2O</v>
      </c>
      <c r="I141" s="32" t="str">
        <f>INDEX(Active!J:J, MATCH(Spearmans2!H141, Active!F:F,0),1)</f>
        <v>Mean Lithological Sodium Oxide</v>
      </c>
      <c r="J141" s="32" t="str">
        <f>INDEX(Active!B:B, MATCH(Spearmans2!H141, Active!F:F,0),1)</f>
        <v>Natural</v>
      </c>
      <c r="K141" s="32" t="str">
        <f>INDEX(Active!K:K, MATCH(Spearmans2!H141, Active!F:F,0),1)</f>
        <v>Mean % of lithological sodium oxide (Na2O) content in surface or near surface geology within AOI</v>
      </c>
      <c r="L141" s="33">
        <v>0.80427483296067692</v>
      </c>
    </row>
    <row r="142" spans="1:12" s="39" customFormat="1" x14ac:dyDescent="0.3">
      <c r="A142" s="35" t="s">
        <v>717</v>
      </c>
      <c r="B142" s="36" t="str">
        <f t="shared" si="4"/>
        <v>P2O5</v>
      </c>
      <c r="C142" s="36" t="str">
        <f>INDEX(Active!J:J, MATCH(Spearmans2!B142, Active!F:F,0),1)</f>
        <v>Mean Lithological Phosphorous Oxide</v>
      </c>
      <c r="D142" s="36" t="str">
        <f>INDEX(Active!B:B, MATCH(Spearmans2!B142, Active!F:F,0),1)</f>
        <v>Natural</v>
      </c>
      <c r="E142" s="36" t="str">
        <f>INDEX(Active!D:D, MATCH(Spearmans2!B142, Active!F:F,0),1)</f>
        <v>Lithology</v>
      </c>
      <c r="F142" s="36" t="str">
        <f>INDEX(Active!K:K, MATCH(Spearmans2!B142, Active!F:F,0),1)</f>
        <v>Mean % of lithological phosphorous oxide (P2O5) content in surface or near surface geology within AOI</v>
      </c>
      <c r="G142" s="37" t="s">
        <v>744</v>
      </c>
      <c r="H142" s="37" t="str">
        <f t="shared" si="5"/>
        <v>SIO2</v>
      </c>
      <c r="I142" s="37" t="str">
        <f>INDEX(Active!J:J, MATCH(Spearmans2!H142, Active!F:F,0),1)</f>
        <v>Mean Lithological Silicon Dioxide</v>
      </c>
      <c r="J142" s="37" t="str">
        <f>INDEX(Active!B:B, MATCH(Spearmans2!H142, Active!F:F,0),1)</f>
        <v>Natural</v>
      </c>
      <c r="K142" s="37" t="str">
        <f>INDEX(Active!K:K, MATCH(Spearmans2!H142, Active!F:F,0),1)</f>
        <v>Mean % of lithological silicon dioxide (SiO2) content in surface or near surface geology within AOI</v>
      </c>
      <c r="L142" s="38">
        <v>-0.85460410759142791</v>
      </c>
    </row>
    <row r="143" spans="1:12" s="34" customFormat="1" x14ac:dyDescent="0.3">
      <c r="A143" s="30" t="s">
        <v>718</v>
      </c>
      <c r="B143" s="31" t="str">
        <f t="shared" si="4"/>
        <v>PCT_EROD</v>
      </c>
      <c r="C143" s="31" t="e">
        <f>INDEX(Active!J:J, MATCH(Spearmans2!B143, Active!F:F,0),1)</f>
        <v>#N/A</v>
      </c>
      <c r="D143" s="31" t="e">
        <f>INDEX(Active!B:B, MATCH(Spearmans2!B143, Active!F:F,0),1)</f>
        <v>#N/A</v>
      </c>
      <c r="E143" s="31" t="e">
        <f>INDEX(Active!D:D, MATCH(Spearmans2!B143, Active!F:F,0),1)</f>
        <v>#N/A</v>
      </c>
      <c r="F143" s="31" t="e">
        <f>INDEX(Active!K:K, MATCH(Spearmans2!B143, Active!F:F,0),1)</f>
        <v>#N/A</v>
      </c>
      <c r="G143" s="32" t="s">
        <v>731</v>
      </c>
      <c r="H143" s="32" t="str">
        <f t="shared" si="5"/>
        <v>PCTNONCARBRESID</v>
      </c>
      <c r="I143" s="32" t="str">
        <f>INDEX(Active!J:J, MATCH(Spearmans2!H143, Active!F:F,0),1)</f>
        <v>Non-Carbonate Residual Material</v>
      </c>
      <c r="J143" s="32" t="str">
        <f>INDEX(Active!B:B, MATCH(Spearmans2!H143, Active!F:F,0),1)</f>
        <v>Natural</v>
      </c>
      <c r="K143" s="32" t="str">
        <f>INDEX(Active!K:K, MATCH(Spearmans2!H143, Active!F:F,0),1)</f>
        <v>% of AOI area classified as lithology type: non-carbonate residual material</v>
      </c>
      <c r="L143" s="33">
        <v>0.84836205997363667</v>
      </c>
    </row>
    <row r="144" spans="1:12" s="34" customFormat="1" x14ac:dyDescent="0.3">
      <c r="A144" s="30" t="s">
        <v>718</v>
      </c>
      <c r="B144" s="31" t="str">
        <f t="shared" si="4"/>
        <v>PCT_EROD</v>
      </c>
      <c r="C144" s="31" t="e">
        <f>INDEX(Active!J:J, MATCH(Spearmans2!B144, Active!F:F,0),1)</f>
        <v>#N/A</v>
      </c>
      <c r="D144" s="31" t="e">
        <f>INDEX(Active!B:B, MATCH(Spearmans2!B144, Active!F:F,0),1)</f>
        <v>#N/A</v>
      </c>
      <c r="E144" s="31" t="e">
        <f>INDEX(Active!D:D, MATCH(Spearmans2!B144, Active!F:F,0),1)</f>
        <v>#N/A</v>
      </c>
      <c r="F144" s="31" t="e">
        <f>INDEX(Active!K:K, MATCH(Spearmans2!B144, Active!F:F,0),1)</f>
        <v>#N/A</v>
      </c>
      <c r="G144" s="32" t="s">
        <v>732</v>
      </c>
      <c r="H144" s="32" t="str">
        <f t="shared" si="5"/>
        <v>PCTSILICIC</v>
      </c>
      <c r="I144" s="32" t="str">
        <f>INDEX(Active!J:J, MATCH(Spearmans2!H144, Active!F:F,0),1)</f>
        <v>Silicic Residual Material</v>
      </c>
      <c r="J144" s="32" t="str">
        <f>INDEX(Active!B:B, MATCH(Spearmans2!H144, Active!F:F,0),1)</f>
        <v>Natural</v>
      </c>
      <c r="K144" s="32" t="str">
        <f>INDEX(Active!K:K, MATCH(Spearmans2!H144, Active!F:F,0),1)</f>
        <v>% of AOI area classified as lithology type: silicic residual material</v>
      </c>
      <c r="L144" s="33">
        <v>-0.83432817520263403</v>
      </c>
    </row>
    <row r="145" spans="1:12" s="29" customFormat="1" x14ac:dyDescent="0.3">
      <c r="A145" s="25" t="s">
        <v>719</v>
      </c>
      <c r="B145" s="26" t="str">
        <f t="shared" si="4"/>
        <v>PCTAGSLPHIGH2001</v>
      </c>
      <c r="C145" s="26" t="str">
        <f>INDEX(Active!J:J, MATCH(Spearmans2!B145, Active!F:F,0),1)</f>
        <v>Percent of Agriculture of 20% Slope</v>
      </c>
      <c r="D145" s="26" t="str">
        <f>INDEX(Active!B:B, MATCH(Spearmans2!B145, Active!F:F,0),1)</f>
        <v>Anthropogenic</v>
      </c>
      <c r="E145" s="26" t="str">
        <f>INDEX(Active!D:D, MATCH(Spearmans2!B145, Active!F:F,0),1)</f>
        <v>Agriculture</v>
      </c>
      <c r="F145" s="26" t="str">
        <f>INDEX(Active!K:K, MATCH(Spearmans2!B145, Active!F:F,0),1)</f>
        <v>% of AOI area classified as ag land cover (NLCD classes 81-82) occurring on slopes &gt; 20%</v>
      </c>
      <c r="G145" s="27" t="s">
        <v>720</v>
      </c>
      <c r="H145" s="27" t="str">
        <f t="shared" si="5"/>
        <v>PCTAGSLPMID2001</v>
      </c>
      <c r="I145" s="27" t="str">
        <f>INDEX(Active!J:J, MATCH(Spearmans2!H145, Active!F:F,0),1)</f>
        <v>Percent of Agriculture of 10% Slope</v>
      </c>
      <c r="J145" s="27" t="str">
        <f>INDEX(Active!B:B, MATCH(Spearmans2!H145, Active!F:F,0),1)</f>
        <v>Anthropogenic</v>
      </c>
      <c r="K145" s="27" t="str">
        <f>INDEX(Active!K:K, MATCH(Spearmans2!H145, Active!F:F,0),1)</f>
        <v>% of AOI area classified as ag land cover (NLCD classes 81-82) occurring on slopes &gt; 10%</v>
      </c>
      <c r="L145" s="28">
        <v>0.9172092353508261</v>
      </c>
    </row>
    <row r="146" spans="1:12" s="34" customFormat="1" x14ac:dyDescent="0.3">
      <c r="A146" s="30" t="s">
        <v>719</v>
      </c>
      <c r="B146" s="31" t="str">
        <f t="shared" si="4"/>
        <v>PCTAGSLPHIGH2001</v>
      </c>
      <c r="C146" s="31" t="str">
        <f>INDEX(Active!J:J, MATCH(Spearmans2!B146, Active!F:F,0),1)</f>
        <v>Percent of Agriculture of 20% Slope</v>
      </c>
      <c r="D146" s="31" t="str">
        <f>INDEX(Active!B:B, MATCH(Spearmans2!B146, Active!F:F,0),1)</f>
        <v>Anthropogenic</v>
      </c>
      <c r="E146" s="31" t="str">
        <f>INDEX(Active!D:D, MATCH(Spearmans2!B146, Active!F:F,0),1)</f>
        <v>Agriculture</v>
      </c>
      <c r="F146" s="31" t="str">
        <f>INDEX(Active!K:K, MATCH(Spearmans2!B146, Active!F:F,0),1)</f>
        <v>% of AOI area classified as ag land cover (NLCD classes 81-82) occurring on slopes &gt; 20%</v>
      </c>
      <c r="G146" s="32" t="s">
        <v>723</v>
      </c>
      <c r="H146" s="32" t="str">
        <f t="shared" si="5"/>
        <v>PCTHAY2001</v>
      </c>
      <c r="I146" s="32" t="str">
        <f>INDEX(Active!J:J, MATCH(Spearmans2!H146, Active!F:F,0),1)</f>
        <v>Pasture/Hay Percentage</v>
      </c>
      <c r="J146" s="32" t="str">
        <f>INDEX(Active!B:B, MATCH(Spearmans2!H146, Active!F:F,0),1)</f>
        <v>Anthropogenic</v>
      </c>
      <c r="K146" s="32" t="str">
        <f>INDEX(Active!K:K, MATCH(Spearmans2!H146, Active!F:F,0),1)</f>
        <v>% of AOI area classified as hay land use (NLCD class 81)</v>
      </c>
      <c r="L146" s="33">
        <v>0.81901749345903085</v>
      </c>
    </row>
    <row r="147" spans="1:12" s="29" customFormat="1" x14ac:dyDescent="0.3">
      <c r="A147" s="25" t="s">
        <v>720</v>
      </c>
      <c r="B147" s="26" t="str">
        <f t="shared" si="4"/>
        <v>PCTAGSLPMID2001</v>
      </c>
      <c r="C147" s="26" t="str">
        <f>INDEX(Active!J:J, MATCH(Spearmans2!B147, Active!F:F,0),1)</f>
        <v>Percent of Agriculture of 10% Slope</v>
      </c>
      <c r="D147" s="26" t="str">
        <f>INDEX(Active!B:B, MATCH(Spearmans2!B147, Active!F:F,0),1)</f>
        <v>Anthropogenic</v>
      </c>
      <c r="E147" s="26" t="str">
        <f>INDEX(Active!D:D, MATCH(Spearmans2!B147, Active!F:F,0),1)</f>
        <v>Agriculture</v>
      </c>
      <c r="F147" s="26" t="str">
        <f>INDEX(Active!K:K, MATCH(Spearmans2!B147, Active!F:F,0),1)</f>
        <v>% of AOI area classified as ag land cover (NLCD classes 81-82) occurring on slopes &gt; 10%</v>
      </c>
      <c r="G147" s="27" t="s">
        <v>719</v>
      </c>
      <c r="H147" s="27" t="str">
        <f t="shared" si="5"/>
        <v>PCTAGSLPHIGH2001</v>
      </c>
      <c r="I147" s="27" t="str">
        <f>INDEX(Active!J:J, MATCH(Spearmans2!H147, Active!F:F,0),1)</f>
        <v>Percent of Agriculture of 20% Slope</v>
      </c>
      <c r="J147" s="27" t="str">
        <f>INDEX(Active!B:B, MATCH(Spearmans2!H147, Active!F:F,0),1)</f>
        <v>Anthropogenic</v>
      </c>
      <c r="K147" s="27" t="str">
        <f>INDEX(Active!K:K, MATCH(Spearmans2!H147, Active!F:F,0),1)</f>
        <v>% of AOI area classified as ag land cover (NLCD classes 81-82) occurring on slopes &gt; 20%</v>
      </c>
      <c r="L147" s="28">
        <v>0.9172092353508261</v>
      </c>
    </row>
    <row r="148" spans="1:12" s="39" customFormat="1" x14ac:dyDescent="0.3">
      <c r="A148" s="35" t="s">
        <v>720</v>
      </c>
      <c r="B148" s="36" t="str">
        <f t="shared" si="4"/>
        <v>PCTAGSLPMID2001</v>
      </c>
      <c r="C148" s="36" t="str">
        <f>INDEX(Active!J:J, MATCH(Spearmans2!B148, Active!F:F,0),1)</f>
        <v>Percent of Agriculture of 10% Slope</v>
      </c>
      <c r="D148" s="36" t="str">
        <f>INDEX(Active!B:B, MATCH(Spearmans2!B148, Active!F:F,0),1)</f>
        <v>Anthropogenic</v>
      </c>
      <c r="E148" s="36" t="str">
        <f>INDEX(Active!D:D, MATCH(Spearmans2!B148, Active!F:F,0),1)</f>
        <v>Agriculture</v>
      </c>
      <c r="F148" s="36" t="str">
        <f>INDEX(Active!K:K, MATCH(Spearmans2!B148, Active!F:F,0),1)</f>
        <v>% of AOI area classified as ag land cover (NLCD classes 81-82) occurring on slopes &gt; 10%</v>
      </c>
      <c r="G148" s="37" t="s">
        <v>723</v>
      </c>
      <c r="H148" s="37" t="str">
        <f t="shared" si="5"/>
        <v>PCTHAY2001</v>
      </c>
      <c r="I148" s="37" t="str">
        <f>INDEX(Active!J:J, MATCH(Spearmans2!H148, Active!F:F,0),1)</f>
        <v>Pasture/Hay Percentage</v>
      </c>
      <c r="J148" s="37" t="str">
        <f>INDEX(Active!B:B, MATCH(Spearmans2!H148, Active!F:F,0),1)</f>
        <v>Anthropogenic</v>
      </c>
      <c r="K148" s="37" t="str">
        <f>INDEX(Active!K:K, MATCH(Spearmans2!H148, Active!F:F,0),1)</f>
        <v>% of AOI area classified as hay land use (NLCD class 81)</v>
      </c>
      <c r="L148" s="38">
        <v>0.90776964768147972</v>
      </c>
    </row>
    <row r="149" spans="1:12" s="34" customFormat="1" x14ac:dyDescent="0.3">
      <c r="A149" s="30" t="s">
        <v>721</v>
      </c>
      <c r="B149" s="31" t="str">
        <f t="shared" si="4"/>
        <v>PCTBURNAREA2002</v>
      </c>
      <c r="C149" s="31" t="str">
        <f>INDEX(Active!J:J, MATCH(Spearmans2!B149, Active!F:F,0),1)</f>
        <v>Wildfire Burn Percent 1984-2018</v>
      </c>
      <c r="D149" s="31" t="str">
        <f>INDEX(Active!B:B, MATCH(Spearmans2!B149, Active!F:F,0),1)</f>
        <v>Natural</v>
      </c>
      <c r="E149" s="31" t="str">
        <f>INDEX(Active!D:D, MATCH(Spearmans2!B149, Active!F:F,0),1)</f>
        <v>Wildfire</v>
      </c>
      <c r="F149" s="31" t="str">
        <f>INDEX(Active!K:K, MATCH(Spearmans2!B149, Active!F:F,0),1)</f>
        <v>Mean % of AOI burned from wildfires for each year for 1984-2018</v>
      </c>
      <c r="G149" s="32" t="s">
        <v>722</v>
      </c>
      <c r="H149" s="32" t="str">
        <f t="shared" si="5"/>
        <v>PCTFIRE2002</v>
      </c>
      <c r="I149" s="32" t="str">
        <f>INDEX(Active!J:J, MATCH(Spearmans2!H149, Active!F:F,0),1)</f>
        <v>Forest Fire Loss</v>
      </c>
      <c r="J149" s="32" t="str">
        <f>INDEX(Active!B:B, MATCH(Spearmans2!H149, Active!F:F,0),1)</f>
        <v>Natural</v>
      </c>
      <c r="K149" s="32" t="str">
        <f>INDEX(Active!K:K, MATCH(Spearmans2!H149, Active!F:F,0),1)</f>
        <v>% Forest loss to fire (fire perimeter) within AOI</v>
      </c>
      <c r="L149" s="33">
        <v>0.87748752747044345</v>
      </c>
    </row>
    <row r="150" spans="1:12" s="34" customFormat="1" x14ac:dyDescent="0.3">
      <c r="A150" s="30" t="s">
        <v>721</v>
      </c>
      <c r="B150" s="31" t="str">
        <f t="shared" si="4"/>
        <v>PCTBURNAREA2002</v>
      </c>
      <c r="C150" s="31" t="str">
        <f>INDEX(Active!J:J, MATCH(Spearmans2!B150, Active!F:F,0),1)</f>
        <v>Wildfire Burn Percent 1984-2018</v>
      </c>
      <c r="D150" s="31" t="str">
        <f>INDEX(Active!B:B, MATCH(Spearmans2!B150, Active!F:F,0),1)</f>
        <v>Natural</v>
      </c>
      <c r="E150" s="31" t="str">
        <f>INDEX(Active!D:D, MATCH(Spearmans2!B150, Active!F:F,0),1)</f>
        <v>Wildfire</v>
      </c>
      <c r="F150" s="31" t="str">
        <f>INDEX(Active!K:K, MATCH(Spearmans2!B150, Active!F:F,0),1)</f>
        <v>Mean % of AOI burned from wildfires for each year for 1984-2018</v>
      </c>
      <c r="G150" s="32" t="s">
        <v>724</v>
      </c>
      <c r="H150" s="32" t="str">
        <f t="shared" si="5"/>
        <v>PCTHIGHSEV2002</v>
      </c>
      <c r="I150" s="32" t="str">
        <f>INDEX(Active!J:J, MATCH(Spearmans2!H150, Active!F:F,0),1)</f>
        <v>Percent High Burn Severity Class For Year</v>
      </c>
      <c r="J150" s="32" t="str">
        <f>INDEX(Active!B:B, MATCH(Spearmans2!H150, Active!F:F,0),1)</f>
        <v>Natural</v>
      </c>
      <c r="K150" s="32" t="str">
        <f>INDEX(Active!K:K, MATCH(Spearmans2!H150, Active!F:F,0),1)</f>
        <v>% of AOI in each burn severity class for wildfires for each year for 1984-2018</v>
      </c>
      <c r="L150" s="33">
        <v>0.82280829006480316</v>
      </c>
    </row>
    <row r="151" spans="1:12" s="34" customFormat="1" x14ac:dyDescent="0.3">
      <c r="A151" s="30" t="s">
        <v>721</v>
      </c>
      <c r="B151" s="31" t="str">
        <f t="shared" si="4"/>
        <v>PCTBURNAREA2002</v>
      </c>
      <c r="C151" s="31" t="str">
        <f>INDEX(Active!J:J, MATCH(Spearmans2!B151, Active!F:F,0),1)</f>
        <v>Wildfire Burn Percent 1984-2018</v>
      </c>
      <c r="D151" s="31" t="str">
        <f>INDEX(Active!B:B, MATCH(Spearmans2!B151, Active!F:F,0),1)</f>
        <v>Natural</v>
      </c>
      <c r="E151" s="31" t="str">
        <f>INDEX(Active!D:D, MATCH(Spearmans2!B151, Active!F:F,0),1)</f>
        <v>Wildfire</v>
      </c>
      <c r="F151" s="31" t="str">
        <f>INDEX(Active!K:K, MATCH(Spearmans2!B151, Active!F:F,0),1)</f>
        <v>Mean % of AOI burned from wildfires for each year for 1984-2018</v>
      </c>
      <c r="G151" s="32" t="s">
        <v>728</v>
      </c>
      <c r="H151" s="32" t="str">
        <f t="shared" si="5"/>
        <v>PCTLOWSEV2002</v>
      </c>
      <c r="I151" s="32" t="str">
        <f>INDEX(Active!J:J, MATCH(Spearmans2!H151, Active!F:F,0),1)</f>
        <v>Percent Low Burn Severity Class For Year</v>
      </c>
      <c r="J151" s="32" t="str">
        <f>INDEX(Active!B:B, MATCH(Spearmans2!H151, Active!F:F,0),1)</f>
        <v>Natural</v>
      </c>
      <c r="K151" s="32" t="str">
        <f>INDEX(Active!K:K, MATCH(Spearmans2!H151, Active!F:F,0),1)</f>
        <v>% of AOI in each burn severity class for wildfires for each year for 1984-2018</v>
      </c>
      <c r="L151" s="33">
        <v>0.98371979574792578</v>
      </c>
    </row>
    <row r="152" spans="1:12" s="34" customFormat="1" x14ac:dyDescent="0.3">
      <c r="A152" s="30" t="s">
        <v>721</v>
      </c>
      <c r="B152" s="31" t="str">
        <f t="shared" si="4"/>
        <v>PCTBURNAREA2002</v>
      </c>
      <c r="C152" s="31" t="str">
        <f>INDEX(Active!J:J, MATCH(Spearmans2!B152, Active!F:F,0),1)</f>
        <v>Wildfire Burn Percent 1984-2018</v>
      </c>
      <c r="D152" s="31" t="str">
        <f>INDEX(Active!B:B, MATCH(Spearmans2!B152, Active!F:F,0),1)</f>
        <v>Natural</v>
      </c>
      <c r="E152" s="31" t="str">
        <f>INDEX(Active!D:D, MATCH(Spearmans2!B152, Active!F:F,0),1)</f>
        <v>Wildfire</v>
      </c>
      <c r="F152" s="31" t="str">
        <f>INDEX(Active!K:K, MATCH(Spearmans2!B152, Active!F:F,0),1)</f>
        <v>Mean % of AOI burned from wildfires for each year for 1984-2018</v>
      </c>
      <c r="G152" s="32" t="s">
        <v>729</v>
      </c>
      <c r="H152" s="32" t="str">
        <f t="shared" si="5"/>
        <v>PCTMODSEV2002</v>
      </c>
      <c r="I152" s="32" t="str">
        <f>INDEX(Active!J:J, MATCH(Spearmans2!H152, Active!F:F,0),1)</f>
        <v>Percent Moderate Burn Severity Class For Year</v>
      </c>
      <c r="J152" s="32" t="str">
        <f>INDEX(Active!B:B, MATCH(Spearmans2!H152, Active!F:F,0),1)</f>
        <v>Natural</v>
      </c>
      <c r="K152" s="32" t="str">
        <f>INDEX(Active!K:K, MATCH(Spearmans2!H152, Active!F:F,0),1)</f>
        <v>% of AOI in each burn severity class for wildfires for each year for 1984-2018</v>
      </c>
      <c r="L152" s="33">
        <v>0.91507574449390239</v>
      </c>
    </row>
    <row r="153" spans="1:12" s="34" customFormat="1" x14ac:dyDescent="0.3">
      <c r="A153" s="30" t="s">
        <v>721</v>
      </c>
      <c r="B153" s="31" t="str">
        <f t="shared" si="4"/>
        <v>PCTBURNAREA2002</v>
      </c>
      <c r="C153" s="31" t="str">
        <f>INDEX(Active!J:J, MATCH(Spearmans2!B153, Active!F:F,0),1)</f>
        <v>Wildfire Burn Percent 1984-2018</v>
      </c>
      <c r="D153" s="31" t="str">
        <f>INDEX(Active!B:B, MATCH(Spearmans2!B153, Active!F:F,0),1)</f>
        <v>Natural</v>
      </c>
      <c r="E153" s="31" t="str">
        <f>INDEX(Active!D:D, MATCH(Spearmans2!B153, Active!F:F,0),1)</f>
        <v>Wildfire</v>
      </c>
      <c r="F153" s="31" t="str">
        <f>INDEX(Active!K:K, MATCH(Spearmans2!B153, Active!F:F,0),1)</f>
        <v>Mean % of AOI burned from wildfires for each year for 1984-2018</v>
      </c>
      <c r="G153" s="32" t="s">
        <v>733</v>
      </c>
      <c r="H153" s="32" t="str">
        <f t="shared" si="5"/>
        <v>PCTUNDSEV2002</v>
      </c>
      <c r="I153" s="32" t="str">
        <f>INDEX(Active!J:J, MATCH(Spearmans2!H153, Active!F:F,0),1)</f>
        <v>Percent Underburned to Low Burn Severity Class For Year</v>
      </c>
      <c r="J153" s="32" t="str">
        <f>INDEX(Active!B:B, MATCH(Spearmans2!H153, Active!F:F,0),1)</f>
        <v>Natural</v>
      </c>
      <c r="K153" s="32" t="str">
        <f>INDEX(Active!K:K, MATCH(Spearmans2!H153, Active!F:F,0),1)</f>
        <v>% of AOI in each burn severity class for wildfires for each year for 1984-2018</v>
      </c>
      <c r="L153" s="33">
        <v>0.99981809551515843</v>
      </c>
    </row>
    <row r="154" spans="1:12" s="29" customFormat="1" x14ac:dyDescent="0.3">
      <c r="A154" s="25" t="s">
        <v>722</v>
      </c>
      <c r="B154" s="26" t="str">
        <f t="shared" si="4"/>
        <v>PCTFIRE2002</v>
      </c>
      <c r="C154" s="26" t="str">
        <f>INDEX(Active!J:J, MATCH(Spearmans2!B154, Active!F:F,0),1)</f>
        <v>Forest Fire Loss</v>
      </c>
      <c r="D154" s="26" t="str">
        <f>INDEX(Active!B:B, MATCH(Spearmans2!B154, Active!F:F,0),1)</f>
        <v>Natural</v>
      </c>
      <c r="E154" s="26" t="str">
        <f>INDEX(Active!D:D, MATCH(Spearmans2!B154, Active!F:F,0),1)</f>
        <v>Wildfire</v>
      </c>
      <c r="F154" s="26" t="str">
        <f>INDEX(Active!K:K, MATCH(Spearmans2!B154, Active!F:F,0),1)</f>
        <v>% Forest loss to fire (fire perimeter) within AOI</v>
      </c>
      <c r="G154" s="27" t="s">
        <v>721</v>
      </c>
      <c r="H154" s="27" t="str">
        <f t="shared" si="5"/>
        <v>PCTBURNAREA2002</v>
      </c>
      <c r="I154" s="27" t="str">
        <f>INDEX(Active!J:J, MATCH(Spearmans2!H154, Active!F:F,0),1)</f>
        <v>Wildfire Burn Percent 1984-2018</v>
      </c>
      <c r="J154" s="27" t="str">
        <f>INDEX(Active!B:B, MATCH(Spearmans2!H154, Active!F:F,0),1)</f>
        <v>Natural</v>
      </c>
      <c r="K154" s="27" t="str">
        <f>INDEX(Active!K:K, MATCH(Spearmans2!H154, Active!F:F,0),1)</f>
        <v>Mean % of AOI burned from wildfires for each year for 1984-2018</v>
      </c>
      <c r="L154" s="28">
        <v>0.87748752747044345</v>
      </c>
    </row>
    <row r="155" spans="1:12" s="34" customFormat="1" x14ac:dyDescent="0.3">
      <c r="A155" s="30" t="s">
        <v>722</v>
      </c>
      <c r="B155" s="31" t="str">
        <f t="shared" si="4"/>
        <v>PCTFIRE2002</v>
      </c>
      <c r="C155" s="31" t="str">
        <f>INDEX(Active!J:J, MATCH(Spearmans2!B155, Active!F:F,0),1)</f>
        <v>Forest Fire Loss</v>
      </c>
      <c r="D155" s="31" t="str">
        <f>INDEX(Active!B:B, MATCH(Spearmans2!B155, Active!F:F,0),1)</f>
        <v>Natural</v>
      </c>
      <c r="E155" s="31" t="str">
        <f>INDEX(Active!D:D, MATCH(Spearmans2!B155, Active!F:F,0),1)</f>
        <v>Wildfire</v>
      </c>
      <c r="F155" s="31" t="str">
        <f>INDEX(Active!K:K, MATCH(Spearmans2!B155, Active!F:F,0),1)</f>
        <v>% Forest loss to fire (fire perimeter) within AOI</v>
      </c>
      <c r="G155" s="32" t="s">
        <v>724</v>
      </c>
      <c r="H155" s="32" t="str">
        <f t="shared" si="5"/>
        <v>PCTHIGHSEV2002</v>
      </c>
      <c r="I155" s="32" t="str">
        <f>INDEX(Active!J:J, MATCH(Spearmans2!H155, Active!F:F,0),1)</f>
        <v>Percent High Burn Severity Class For Year</v>
      </c>
      <c r="J155" s="32" t="str">
        <f>INDEX(Active!B:B, MATCH(Spearmans2!H155, Active!F:F,0),1)</f>
        <v>Natural</v>
      </c>
      <c r="K155" s="32" t="str">
        <f>INDEX(Active!K:K, MATCH(Spearmans2!H155, Active!F:F,0),1)</f>
        <v>% of AOI in each burn severity class for wildfires for each year for 1984-2018</v>
      </c>
      <c r="L155" s="33">
        <v>0.85403409086819182</v>
      </c>
    </row>
    <row r="156" spans="1:12" s="34" customFormat="1" x14ac:dyDescent="0.3">
      <c r="A156" s="30" t="s">
        <v>722</v>
      </c>
      <c r="B156" s="31" t="str">
        <f t="shared" si="4"/>
        <v>PCTFIRE2002</v>
      </c>
      <c r="C156" s="31" t="str">
        <f>INDEX(Active!J:J, MATCH(Spearmans2!B156, Active!F:F,0),1)</f>
        <v>Forest Fire Loss</v>
      </c>
      <c r="D156" s="31" t="str">
        <f>INDEX(Active!B:B, MATCH(Spearmans2!B156, Active!F:F,0),1)</f>
        <v>Natural</v>
      </c>
      <c r="E156" s="31" t="str">
        <f>INDEX(Active!D:D, MATCH(Spearmans2!B156, Active!F:F,0),1)</f>
        <v>Wildfire</v>
      </c>
      <c r="F156" s="31" t="str">
        <f>INDEX(Active!K:K, MATCH(Spearmans2!B156, Active!F:F,0),1)</f>
        <v>% Forest loss to fire (fire perimeter) within AOI</v>
      </c>
      <c r="G156" s="32" t="s">
        <v>728</v>
      </c>
      <c r="H156" s="32" t="str">
        <f t="shared" si="5"/>
        <v>PCTLOWSEV2002</v>
      </c>
      <c r="I156" s="32" t="str">
        <f>INDEX(Active!J:J, MATCH(Spearmans2!H156, Active!F:F,0),1)</f>
        <v>Percent Low Burn Severity Class For Year</v>
      </c>
      <c r="J156" s="32" t="str">
        <f>INDEX(Active!B:B, MATCH(Spearmans2!H156, Active!F:F,0),1)</f>
        <v>Natural</v>
      </c>
      <c r="K156" s="32" t="str">
        <f>INDEX(Active!K:K, MATCH(Spearmans2!H156, Active!F:F,0),1)</f>
        <v>% of AOI in each burn severity class for wildfires for each year for 1984-2018</v>
      </c>
      <c r="L156" s="33">
        <v>0.89140942914352284</v>
      </c>
    </row>
    <row r="157" spans="1:12" s="34" customFormat="1" x14ac:dyDescent="0.3">
      <c r="A157" s="30" t="s">
        <v>722</v>
      </c>
      <c r="B157" s="31" t="str">
        <f t="shared" si="4"/>
        <v>PCTFIRE2002</v>
      </c>
      <c r="C157" s="31" t="str">
        <f>INDEX(Active!J:J, MATCH(Spearmans2!B157, Active!F:F,0),1)</f>
        <v>Forest Fire Loss</v>
      </c>
      <c r="D157" s="31" t="str">
        <f>INDEX(Active!B:B, MATCH(Spearmans2!B157, Active!F:F,0),1)</f>
        <v>Natural</v>
      </c>
      <c r="E157" s="31" t="str">
        <f>INDEX(Active!D:D, MATCH(Spearmans2!B157, Active!F:F,0),1)</f>
        <v>Wildfire</v>
      </c>
      <c r="F157" s="31" t="str">
        <f>INDEX(Active!K:K, MATCH(Spearmans2!B157, Active!F:F,0),1)</f>
        <v>% Forest loss to fire (fire perimeter) within AOI</v>
      </c>
      <c r="G157" s="32" t="s">
        <v>729</v>
      </c>
      <c r="H157" s="32" t="str">
        <f t="shared" si="5"/>
        <v>PCTMODSEV2002</v>
      </c>
      <c r="I157" s="32" t="str">
        <f>INDEX(Active!J:J, MATCH(Spearmans2!H157, Active!F:F,0),1)</f>
        <v>Percent Moderate Burn Severity Class For Year</v>
      </c>
      <c r="J157" s="32" t="str">
        <f>INDEX(Active!B:B, MATCH(Spearmans2!H157, Active!F:F,0),1)</f>
        <v>Natural</v>
      </c>
      <c r="K157" s="32" t="str">
        <f>INDEX(Active!K:K, MATCH(Spearmans2!H157, Active!F:F,0),1)</f>
        <v>% of AOI in each burn severity class for wildfires for each year for 1984-2018</v>
      </c>
      <c r="L157" s="33">
        <v>0.88212569100663485</v>
      </c>
    </row>
    <row r="158" spans="1:12" s="39" customFormat="1" x14ac:dyDescent="0.3">
      <c r="A158" s="35" t="s">
        <v>722</v>
      </c>
      <c r="B158" s="36" t="str">
        <f t="shared" si="4"/>
        <v>PCTFIRE2002</v>
      </c>
      <c r="C158" s="36" t="str">
        <f>INDEX(Active!J:J, MATCH(Spearmans2!B158, Active!F:F,0),1)</f>
        <v>Forest Fire Loss</v>
      </c>
      <c r="D158" s="36" t="str">
        <f>INDEX(Active!B:B, MATCH(Spearmans2!B158, Active!F:F,0),1)</f>
        <v>Natural</v>
      </c>
      <c r="E158" s="36" t="str">
        <f>INDEX(Active!D:D, MATCH(Spearmans2!B158, Active!F:F,0),1)</f>
        <v>Wildfire</v>
      </c>
      <c r="F158" s="36" t="str">
        <f>INDEX(Active!K:K, MATCH(Spearmans2!B158, Active!F:F,0),1)</f>
        <v>% Forest loss to fire (fire perimeter) within AOI</v>
      </c>
      <c r="G158" s="37" t="s">
        <v>733</v>
      </c>
      <c r="H158" s="37" t="str">
        <f t="shared" si="5"/>
        <v>PCTUNDSEV2002</v>
      </c>
      <c r="I158" s="37" t="str">
        <f>INDEX(Active!J:J, MATCH(Spearmans2!H158, Active!F:F,0),1)</f>
        <v>Percent Underburned to Low Burn Severity Class For Year</v>
      </c>
      <c r="J158" s="37" t="str">
        <f>INDEX(Active!B:B, MATCH(Spearmans2!H158, Active!F:F,0),1)</f>
        <v>Natural</v>
      </c>
      <c r="K158" s="37" t="str">
        <f>INDEX(Active!K:K, MATCH(Spearmans2!H158, Active!F:F,0),1)</f>
        <v>% of AOI in each burn severity class for wildfires for each year for 1984-2018</v>
      </c>
      <c r="L158" s="38">
        <v>0.87687185125985945</v>
      </c>
    </row>
    <row r="159" spans="1:12" s="59" customFormat="1" x14ac:dyDescent="0.3">
      <c r="A159" s="30" t="s">
        <v>723</v>
      </c>
      <c r="B159" s="30" t="str">
        <f t="shared" si="4"/>
        <v>PCTHAY2001</v>
      </c>
      <c r="C159" s="30" t="str">
        <f>INDEX(Active!J:J, MATCH(Spearmans2!B159, Active!F:F,0),1)</f>
        <v>Pasture/Hay Percentage</v>
      </c>
      <c r="D159" s="30" t="str">
        <f>INDEX(Active!B:B, MATCH(Spearmans2!B159, Active!F:F,0),1)</f>
        <v>Anthropogenic</v>
      </c>
      <c r="E159" s="30" t="str">
        <f>INDEX(Active!D:D, MATCH(Spearmans2!B159, Active!F:F,0),1)</f>
        <v>Agriculture</v>
      </c>
      <c r="F159" s="30" t="str">
        <f>INDEX(Active!K:K, MATCH(Spearmans2!B159, Active!F:F,0),1)</f>
        <v>% of AOI area classified as hay land use (NLCD class 81)</v>
      </c>
      <c r="G159" s="57" t="s">
        <v>719</v>
      </c>
      <c r="H159" s="57" t="str">
        <f t="shared" si="5"/>
        <v>PCTAGSLPHIGH2001</v>
      </c>
      <c r="I159" s="57" t="str">
        <f>INDEX(Active!J:J, MATCH(Spearmans2!H159, Active!F:F,0),1)</f>
        <v>Percent of Agriculture of 20% Slope</v>
      </c>
      <c r="J159" s="57" t="str">
        <f>INDEX(Active!B:B, MATCH(Spearmans2!H159, Active!F:F,0),1)</f>
        <v>Anthropogenic</v>
      </c>
      <c r="K159" s="57" t="str">
        <f>INDEX(Active!K:K, MATCH(Spearmans2!H159, Active!F:F,0),1)</f>
        <v>% of AOI area classified as ag land cover (NLCD classes 81-82) occurring on slopes &gt; 20%</v>
      </c>
      <c r="L159" s="58">
        <v>0.81901749345903085</v>
      </c>
    </row>
    <row r="160" spans="1:12" s="59" customFormat="1" x14ac:dyDescent="0.3">
      <c r="A160" s="30" t="s">
        <v>723</v>
      </c>
      <c r="B160" s="30" t="str">
        <f t="shared" si="4"/>
        <v>PCTHAY2001</v>
      </c>
      <c r="C160" s="30" t="str">
        <f>INDEX(Active!J:J, MATCH(Spearmans2!B160, Active!F:F,0),1)</f>
        <v>Pasture/Hay Percentage</v>
      </c>
      <c r="D160" s="30" t="str">
        <f>INDEX(Active!B:B, MATCH(Spearmans2!B160, Active!F:F,0),1)</f>
        <v>Anthropogenic</v>
      </c>
      <c r="E160" s="30" t="str">
        <f>INDEX(Active!D:D, MATCH(Spearmans2!B160, Active!F:F,0),1)</f>
        <v>Agriculture</v>
      </c>
      <c r="F160" s="30" t="str">
        <f>INDEX(Active!K:K, MATCH(Spearmans2!B160, Active!F:F,0),1)</f>
        <v>% of AOI area classified as hay land use (NLCD class 81)</v>
      </c>
      <c r="G160" s="57" t="s">
        <v>720</v>
      </c>
      <c r="H160" s="57" t="str">
        <f t="shared" si="5"/>
        <v>PCTAGSLPMID2001</v>
      </c>
      <c r="I160" s="57" t="str">
        <f>INDEX(Active!J:J, MATCH(Spearmans2!H160, Active!F:F,0),1)</f>
        <v>Percent of Agriculture of 10% Slope</v>
      </c>
      <c r="J160" s="57" t="str">
        <f>INDEX(Active!B:B, MATCH(Spearmans2!H160, Active!F:F,0),1)</f>
        <v>Anthropogenic</v>
      </c>
      <c r="K160" s="57" t="str">
        <f>INDEX(Active!K:K, MATCH(Spearmans2!H160, Active!F:F,0),1)</f>
        <v>% of AOI area classified as ag land cover (NLCD classes 81-82) occurring on slopes &gt; 10%</v>
      </c>
      <c r="L160" s="58">
        <v>0.90776964768147972</v>
      </c>
    </row>
    <row r="161" spans="1:12" s="29" customFormat="1" x14ac:dyDescent="0.3">
      <c r="A161" s="25" t="s">
        <v>724</v>
      </c>
      <c r="B161" s="26" t="str">
        <f t="shared" si="4"/>
        <v>PCTHIGHSEV2002</v>
      </c>
      <c r="C161" s="26" t="str">
        <f>INDEX(Active!J:J, MATCH(Spearmans2!B161, Active!F:F,0),1)</f>
        <v>Percent High Burn Severity Class For Year</v>
      </c>
      <c r="D161" s="26" t="str">
        <f>INDEX(Active!B:B, MATCH(Spearmans2!B161, Active!F:F,0),1)</f>
        <v>Natural</v>
      </c>
      <c r="E161" s="26" t="str">
        <f>INDEX(Active!D:D, MATCH(Spearmans2!B161, Active!F:F,0),1)</f>
        <v>Wildfire</v>
      </c>
      <c r="F161" s="26" t="str">
        <f>INDEX(Active!K:K, MATCH(Spearmans2!B161, Active!F:F,0),1)</f>
        <v>% of AOI in each burn severity class for wildfires for each year for 1984-2018</v>
      </c>
      <c r="G161" s="27" t="s">
        <v>721</v>
      </c>
      <c r="H161" s="27" t="str">
        <f t="shared" si="5"/>
        <v>PCTBURNAREA2002</v>
      </c>
      <c r="I161" s="27" t="str">
        <f>INDEX(Active!J:J, MATCH(Spearmans2!H161, Active!F:F,0),1)</f>
        <v>Wildfire Burn Percent 1984-2018</v>
      </c>
      <c r="J161" s="27" t="str">
        <f>INDEX(Active!B:B, MATCH(Spearmans2!H161, Active!F:F,0),1)</f>
        <v>Natural</v>
      </c>
      <c r="K161" s="27" t="str">
        <f>INDEX(Active!K:K, MATCH(Spearmans2!H161, Active!F:F,0),1)</f>
        <v>Mean % of AOI burned from wildfires for each year for 1984-2018</v>
      </c>
      <c r="L161" s="28">
        <v>0.82280829006480316</v>
      </c>
    </row>
    <row r="162" spans="1:12" s="34" customFormat="1" x14ac:dyDescent="0.3">
      <c r="A162" s="30" t="s">
        <v>724</v>
      </c>
      <c r="B162" s="31" t="str">
        <f t="shared" si="4"/>
        <v>PCTHIGHSEV2002</v>
      </c>
      <c r="C162" s="31" t="str">
        <f>INDEX(Active!J:J, MATCH(Spearmans2!B162, Active!F:F,0),1)</f>
        <v>Percent High Burn Severity Class For Year</v>
      </c>
      <c r="D162" s="31" t="str">
        <f>INDEX(Active!B:B, MATCH(Spearmans2!B162, Active!F:F,0),1)</f>
        <v>Natural</v>
      </c>
      <c r="E162" s="31" t="str">
        <f>INDEX(Active!D:D, MATCH(Spearmans2!B162, Active!F:F,0),1)</f>
        <v>Wildfire</v>
      </c>
      <c r="F162" s="31" t="str">
        <f>INDEX(Active!K:K, MATCH(Spearmans2!B162, Active!F:F,0),1)</f>
        <v>% of AOI in each burn severity class for wildfires for each year for 1984-2018</v>
      </c>
      <c r="G162" s="32" t="s">
        <v>722</v>
      </c>
      <c r="H162" s="32" t="str">
        <f t="shared" si="5"/>
        <v>PCTFIRE2002</v>
      </c>
      <c r="I162" s="32" t="str">
        <f>INDEX(Active!J:J, MATCH(Spearmans2!H162, Active!F:F,0),1)</f>
        <v>Forest Fire Loss</v>
      </c>
      <c r="J162" s="32" t="str">
        <f>INDEX(Active!B:B, MATCH(Spearmans2!H162, Active!F:F,0),1)</f>
        <v>Natural</v>
      </c>
      <c r="K162" s="32" t="str">
        <f>INDEX(Active!K:K, MATCH(Spearmans2!H162, Active!F:F,0),1)</f>
        <v>% Forest loss to fire (fire perimeter) within AOI</v>
      </c>
      <c r="L162" s="33">
        <v>0.85403409086819182</v>
      </c>
    </row>
    <row r="163" spans="1:12" s="34" customFormat="1" x14ac:dyDescent="0.3">
      <c r="A163" s="30" t="s">
        <v>724</v>
      </c>
      <c r="B163" s="31" t="str">
        <f t="shared" si="4"/>
        <v>PCTHIGHSEV2002</v>
      </c>
      <c r="C163" s="31" t="str">
        <f>INDEX(Active!J:J, MATCH(Spearmans2!B163, Active!F:F,0),1)</f>
        <v>Percent High Burn Severity Class For Year</v>
      </c>
      <c r="D163" s="31" t="str">
        <f>INDEX(Active!B:B, MATCH(Spearmans2!B163, Active!F:F,0),1)</f>
        <v>Natural</v>
      </c>
      <c r="E163" s="31" t="str">
        <f>INDEX(Active!D:D, MATCH(Spearmans2!B163, Active!F:F,0),1)</f>
        <v>Wildfire</v>
      </c>
      <c r="F163" s="31" t="str">
        <f>INDEX(Active!K:K, MATCH(Spearmans2!B163, Active!F:F,0),1)</f>
        <v>% of AOI in each burn severity class for wildfires for each year for 1984-2018</v>
      </c>
      <c r="G163" s="32" t="s">
        <v>728</v>
      </c>
      <c r="H163" s="32" t="str">
        <f t="shared" si="5"/>
        <v>PCTLOWSEV2002</v>
      </c>
      <c r="I163" s="32" t="str">
        <f>INDEX(Active!J:J, MATCH(Spearmans2!H163, Active!F:F,0),1)</f>
        <v>Percent Low Burn Severity Class For Year</v>
      </c>
      <c r="J163" s="32" t="str">
        <f>INDEX(Active!B:B, MATCH(Spearmans2!H163, Active!F:F,0),1)</f>
        <v>Natural</v>
      </c>
      <c r="K163" s="32" t="str">
        <f>INDEX(Active!K:K, MATCH(Spearmans2!H163, Active!F:F,0),1)</f>
        <v>% of AOI in each burn severity class for wildfires for each year for 1984-2018</v>
      </c>
      <c r="L163" s="33">
        <v>0.83541498053807117</v>
      </c>
    </row>
    <row r="164" spans="1:12" s="34" customFormat="1" x14ac:dyDescent="0.3">
      <c r="A164" s="30" t="s">
        <v>724</v>
      </c>
      <c r="B164" s="31" t="str">
        <f t="shared" si="4"/>
        <v>PCTHIGHSEV2002</v>
      </c>
      <c r="C164" s="31" t="str">
        <f>INDEX(Active!J:J, MATCH(Spearmans2!B164, Active!F:F,0),1)</f>
        <v>Percent High Burn Severity Class For Year</v>
      </c>
      <c r="D164" s="31" t="str">
        <f>INDEX(Active!B:B, MATCH(Spearmans2!B164, Active!F:F,0),1)</f>
        <v>Natural</v>
      </c>
      <c r="E164" s="31" t="str">
        <f>INDEX(Active!D:D, MATCH(Spearmans2!B164, Active!F:F,0),1)</f>
        <v>Wildfire</v>
      </c>
      <c r="F164" s="31" t="str">
        <f>INDEX(Active!K:K, MATCH(Spearmans2!B164, Active!F:F,0),1)</f>
        <v>% of AOI in each burn severity class for wildfires for each year for 1984-2018</v>
      </c>
      <c r="G164" s="32" t="s">
        <v>729</v>
      </c>
      <c r="H164" s="32" t="str">
        <f t="shared" si="5"/>
        <v>PCTMODSEV2002</v>
      </c>
      <c r="I164" s="32" t="str">
        <f>INDEX(Active!J:J, MATCH(Spearmans2!H164, Active!F:F,0),1)</f>
        <v>Percent Moderate Burn Severity Class For Year</v>
      </c>
      <c r="J164" s="32" t="str">
        <f>INDEX(Active!B:B, MATCH(Spearmans2!H164, Active!F:F,0),1)</f>
        <v>Natural</v>
      </c>
      <c r="K164" s="32" t="str">
        <f>INDEX(Active!K:K, MATCH(Spearmans2!H164, Active!F:F,0),1)</f>
        <v>% of AOI in each burn severity class for wildfires for each year for 1984-2018</v>
      </c>
      <c r="L164" s="33">
        <v>0.89795847864222222</v>
      </c>
    </row>
    <row r="165" spans="1:12" s="39" customFormat="1" x14ac:dyDescent="0.3">
      <c r="A165" s="35" t="s">
        <v>724</v>
      </c>
      <c r="B165" s="36" t="str">
        <f t="shared" si="4"/>
        <v>PCTHIGHSEV2002</v>
      </c>
      <c r="C165" s="36" t="str">
        <f>INDEX(Active!J:J, MATCH(Spearmans2!B165, Active!F:F,0),1)</f>
        <v>Percent High Burn Severity Class For Year</v>
      </c>
      <c r="D165" s="36" t="str">
        <f>INDEX(Active!B:B, MATCH(Spearmans2!B165, Active!F:F,0),1)</f>
        <v>Natural</v>
      </c>
      <c r="E165" s="36" t="str">
        <f>INDEX(Active!D:D, MATCH(Spearmans2!B165, Active!F:F,0),1)</f>
        <v>Wildfire</v>
      </c>
      <c r="F165" s="36" t="str">
        <f>INDEX(Active!K:K, MATCH(Spearmans2!B165, Active!F:F,0),1)</f>
        <v>% of AOI in each burn severity class for wildfires for each year for 1984-2018</v>
      </c>
      <c r="G165" s="37" t="s">
        <v>733</v>
      </c>
      <c r="H165" s="37" t="str">
        <f t="shared" si="5"/>
        <v>PCTUNDSEV2002</v>
      </c>
      <c r="I165" s="37" t="str">
        <f>INDEX(Active!J:J, MATCH(Spearmans2!H165, Active!F:F,0),1)</f>
        <v>Percent Underburned to Low Burn Severity Class For Year</v>
      </c>
      <c r="J165" s="37" t="str">
        <f>INDEX(Active!B:B, MATCH(Spearmans2!H165, Active!F:F,0),1)</f>
        <v>Natural</v>
      </c>
      <c r="K165" s="37" t="str">
        <f>INDEX(Active!K:K, MATCH(Spearmans2!H165, Active!F:F,0),1)</f>
        <v>% of AOI in each burn severity class for wildfires for each year for 1984-2018</v>
      </c>
      <c r="L165" s="38">
        <v>0.82144192658824988</v>
      </c>
    </row>
    <row r="166" spans="1:12" s="34" customFormat="1" x14ac:dyDescent="0.3">
      <c r="A166" s="30" t="s">
        <v>725</v>
      </c>
      <c r="B166" s="31" t="str">
        <f t="shared" si="4"/>
        <v>PCTIMP2001</v>
      </c>
      <c r="C166" s="31" t="str">
        <f>INDEX(Active!J:J, MATCH(Spearmans2!B166, Active!F:F,0),1)</f>
        <v>Mean Imperviousness</v>
      </c>
      <c r="D166" s="31" t="str">
        <f>INDEX(Active!B:B, MATCH(Spearmans2!B166, Active!F:F,0),1)</f>
        <v>Anthropogenic</v>
      </c>
      <c r="E166" s="31" t="str">
        <f>INDEX(Active!D:D, MATCH(Spearmans2!B166, Active!F:F,0),1)</f>
        <v>Urban</v>
      </c>
      <c r="F166" s="31" t="str">
        <f>INDEX(Active!K:K, MATCH(Spearmans2!B166, Active!F:F,0),1)</f>
        <v>Mean imperviousness of anthropogenic surfaces within AOI  (NLCD)</v>
      </c>
      <c r="G166" s="32" t="s">
        <v>726</v>
      </c>
      <c r="H166" s="32" t="str">
        <f t="shared" si="5"/>
        <v>PCTIMPSLPHIGH2001</v>
      </c>
      <c r="I166" s="32" t="str">
        <f>INDEX(Active!J:J, MATCH(Spearmans2!H166, Active!F:F,0),1)</f>
        <v>Percent Imperviousness on 20% Slope</v>
      </c>
      <c r="J166" s="32" t="str">
        <f>INDEX(Active!B:B, MATCH(Spearmans2!H166, Active!F:F,0),1)</f>
        <v>Anthropogenic</v>
      </c>
      <c r="K166" s="32" t="str">
        <f>INDEX(Active!K:K, MATCH(Spearmans2!H166, Active!F:F,0),1)</f>
        <v>Percent of AOI area classified as impervious occuring on slpes &gt; 20%</v>
      </c>
      <c r="L166" s="33">
        <v>0.82246151452563632</v>
      </c>
    </row>
    <row r="167" spans="1:12" s="34" customFormat="1" x14ac:dyDescent="0.3">
      <c r="A167" s="30" t="s">
        <v>725</v>
      </c>
      <c r="B167" s="31" t="str">
        <f t="shared" si="4"/>
        <v>PCTIMP2001</v>
      </c>
      <c r="C167" s="31" t="str">
        <f>INDEX(Active!J:J, MATCH(Spearmans2!B167, Active!F:F,0),1)</f>
        <v>Mean Imperviousness</v>
      </c>
      <c r="D167" s="31" t="str">
        <f>INDEX(Active!B:B, MATCH(Spearmans2!B167, Active!F:F,0),1)</f>
        <v>Anthropogenic</v>
      </c>
      <c r="E167" s="31" t="str">
        <f>INDEX(Active!D:D, MATCH(Spearmans2!B167, Active!F:F,0),1)</f>
        <v>Urban</v>
      </c>
      <c r="F167" s="31" t="str">
        <f>INDEX(Active!K:K, MATCH(Spearmans2!B167, Active!F:F,0),1)</f>
        <v>Mean imperviousness of anthropogenic surfaces within AOI  (NLCD)</v>
      </c>
      <c r="G167" s="32" t="s">
        <v>727</v>
      </c>
      <c r="H167" s="32" t="str">
        <f t="shared" si="5"/>
        <v>PCTIMPSLPMID2001</v>
      </c>
      <c r="I167" s="32" t="str">
        <f>INDEX(Active!J:J, MATCH(Spearmans2!H167, Active!F:F,0),1)</f>
        <v>Percent Imperviousness on 10% Slope</v>
      </c>
      <c r="J167" s="32" t="str">
        <f>INDEX(Active!B:B, MATCH(Spearmans2!H167, Active!F:F,0),1)</f>
        <v>Anthropogenic</v>
      </c>
      <c r="K167" s="32" t="str">
        <f>INDEX(Active!K:K, MATCH(Spearmans2!H167, Active!F:F,0),1)</f>
        <v>Percent of AOI area classified as impervious occuring on slpes &gt; 10%</v>
      </c>
      <c r="L167" s="33">
        <v>0.95815998399943048</v>
      </c>
    </row>
    <row r="168" spans="1:12" s="29" customFormat="1" x14ac:dyDescent="0.3">
      <c r="A168" s="25" t="s">
        <v>726</v>
      </c>
      <c r="B168" s="26" t="str">
        <f t="shared" si="4"/>
        <v>PCTIMPSLPHIGH2001</v>
      </c>
      <c r="C168" s="26" t="str">
        <f>INDEX(Active!J:J, MATCH(Spearmans2!B168, Active!F:F,0),1)</f>
        <v>Percent Imperviousness on 20% Slope</v>
      </c>
      <c r="D168" s="26" t="str">
        <f>INDEX(Active!B:B, MATCH(Spearmans2!B168, Active!F:F,0),1)</f>
        <v>Anthropogenic</v>
      </c>
      <c r="E168" s="26" t="str">
        <f>INDEX(Active!D:D, MATCH(Spearmans2!B168, Active!F:F,0),1)</f>
        <v>Urban</v>
      </c>
      <c r="F168" s="26" t="str">
        <f>INDEX(Active!K:K, MATCH(Spearmans2!B168, Active!F:F,0),1)</f>
        <v>Percent of AOI area classified as impervious occuring on slpes &gt; 20%</v>
      </c>
      <c r="G168" s="27" t="s">
        <v>725</v>
      </c>
      <c r="H168" s="27" t="str">
        <f t="shared" si="5"/>
        <v>PCTIMP2001</v>
      </c>
      <c r="I168" s="27" t="str">
        <f>INDEX(Active!J:J, MATCH(Spearmans2!H168, Active!F:F,0),1)</f>
        <v>Mean Imperviousness</v>
      </c>
      <c r="J168" s="27" t="str">
        <f>INDEX(Active!B:B, MATCH(Spearmans2!H168, Active!F:F,0),1)</f>
        <v>Anthropogenic</v>
      </c>
      <c r="K168" s="27" t="str">
        <f>INDEX(Active!K:K, MATCH(Spearmans2!H168, Active!F:F,0),1)</f>
        <v>Mean imperviousness of anthropogenic surfaces within AOI  (NLCD)</v>
      </c>
      <c r="L168" s="28">
        <v>0.82246151452563632</v>
      </c>
    </row>
    <row r="169" spans="1:12" s="39" customFormat="1" x14ac:dyDescent="0.3">
      <c r="A169" s="35" t="s">
        <v>726</v>
      </c>
      <c r="B169" s="36" t="str">
        <f t="shared" si="4"/>
        <v>PCTIMPSLPHIGH2001</v>
      </c>
      <c r="C169" s="36" t="str">
        <f>INDEX(Active!J:J, MATCH(Spearmans2!B169, Active!F:F,0),1)</f>
        <v>Percent Imperviousness on 20% Slope</v>
      </c>
      <c r="D169" s="36" t="str">
        <f>INDEX(Active!B:B, MATCH(Spearmans2!B169, Active!F:F,0),1)</f>
        <v>Anthropogenic</v>
      </c>
      <c r="E169" s="36" t="str">
        <f>INDEX(Active!D:D, MATCH(Spearmans2!B169, Active!F:F,0),1)</f>
        <v>Urban</v>
      </c>
      <c r="F169" s="36" t="str">
        <f>INDEX(Active!K:K, MATCH(Spearmans2!B169, Active!F:F,0),1)</f>
        <v>Percent of AOI area classified as impervious occuring on slpes &gt; 20%</v>
      </c>
      <c r="G169" s="37" t="s">
        <v>727</v>
      </c>
      <c r="H169" s="37" t="str">
        <f t="shared" si="5"/>
        <v>PCTIMPSLPMID2001</v>
      </c>
      <c r="I169" s="37" t="str">
        <f>INDEX(Active!J:J, MATCH(Spearmans2!H169, Active!F:F,0),1)</f>
        <v>Percent Imperviousness on 10% Slope</v>
      </c>
      <c r="J169" s="37" t="str">
        <f>INDEX(Active!B:B, MATCH(Spearmans2!H169, Active!F:F,0),1)</f>
        <v>Anthropogenic</v>
      </c>
      <c r="K169" s="37" t="str">
        <f>INDEX(Active!K:K, MATCH(Spearmans2!H169, Active!F:F,0),1)</f>
        <v>Percent of AOI area classified as impervious occuring on slpes &gt; 10%</v>
      </c>
      <c r="L169" s="38">
        <v>0.90491879825465293</v>
      </c>
    </row>
    <row r="170" spans="1:12" s="34" customFormat="1" x14ac:dyDescent="0.3">
      <c r="A170" s="30" t="s">
        <v>727</v>
      </c>
      <c r="B170" s="31" t="str">
        <f t="shared" si="4"/>
        <v>PCTIMPSLPMID2001</v>
      </c>
      <c r="C170" s="31" t="str">
        <f>INDEX(Active!J:J, MATCH(Spearmans2!B170, Active!F:F,0),1)</f>
        <v>Percent Imperviousness on 10% Slope</v>
      </c>
      <c r="D170" s="31" t="str">
        <f>INDEX(Active!B:B, MATCH(Spearmans2!B170, Active!F:F,0),1)</f>
        <v>Anthropogenic</v>
      </c>
      <c r="E170" s="31" t="str">
        <f>INDEX(Active!D:D, MATCH(Spearmans2!B170, Active!F:F,0),1)</f>
        <v>Urban</v>
      </c>
      <c r="F170" s="31" t="str">
        <f>INDEX(Active!K:K, MATCH(Spearmans2!B170, Active!F:F,0),1)</f>
        <v>Percent of AOI area classified as impervious occuring on slpes &gt; 10%</v>
      </c>
      <c r="G170" s="32" t="s">
        <v>725</v>
      </c>
      <c r="H170" s="32" t="str">
        <f t="shared" si="5"/>
        <v>PCTIMP2001</v>
      </c>
      <c r="I170" s="32" t="str">
        <f>INDEX(Active!J:J, MATCH(Spearmans2!H170, Active!F:F,0),1)</f>
        <v>Mean Imperviousness</v>
      </c>
      <c r="J170" s="32" t="str">
        <f>INDEX(Active!B:B, MATCH(Spearmans2!H170, Active!F:F,0),1)</f>
        <v>Anthropogenic</v>
      </c>
      <c r="K170" s="32" t="str">
        <f>INDEX(Active!K:K, MATCH(Spearmans2!H170, Active!F:F,0),1)</f>
        <v>Mean imperviousness of anthropogenic surfaces within AOI  (NLCD)</v>
      </c>
      <c r="L170" s="33">
        <v>0.95815998399943048</v>
      </c>
    </row>
    <row r="171" spans="1:12" s="34" customFormat="1" x14ac:dyDescent="0.3">
      <c r="A171" s="30" t="s">
        <v>727</v>
      </c>
      <c r="B171" s="31" t="str">
        <f t="shared" si="4"/>
        <v>PCTIMPSLPMID2001</v>
      </c>
      <c r="C171" s="31" t="str">
        <f>INDEX(Active!J:J, MATCH(Spearmans2!B171, Active!F:F,0),1)</f>
        <v>Percent Imperviousness on 10% Slope</v>
      </c>
      <c r="D171" s="31" t="str">
        <f>INDEX(Active!B:B, MATCH(Spearmans2!B171, Active!F:F,0),1)</f>
        <v>Anthropogenic</v>
      </c>
      <c r="E171" s="31" t="str">
        <f>INDEX(Active!D:D, MATCH(Spearmans2!B171, Active!F:F,0),1)</f>
        <v>Urban</v>
      </c>
      <c r="F171" s="31" t="str">
        <f>INDEX(Active!K:K, MATCH(Spearmans2!B171, Active!F:F,0),1)</f>
        <v>Percent of AOI area classified as impervious occuring on slpes &gt; 10%</v>
      </c>
      <c r="G171" s="32" t="s">
        <v>726</v>
      </c>
      <c r="H171" s="32" t="str">
        <f t="shared" si="5"/>
        <v>PCTIMPSLPHIGH2001</v>
      </c>
      <c r="I171" s="32" t="str">
        <f>INDEX(Active!J:J, MATCH(Spearmans2!H171, Active!F:F,0),1)</f>
        <v>Percent Imperviousness on 20% Slope</v>
      </c>
      <c r="J171" s="32" t="str">
        <f>INDEX(Active!B:B, MATCH(Spearmans2!H171, Active!F:F,0),1)</f>
        <v>Anthropogenic</v>
      </c>
      <c r="K171" s="32" t="str">
        <f>INDEX(Active!K:K, MATCH(Spearmans2!H171, Active!F:F,0),1)</f>
        <v>Percent of AOI area classified as impervious occuring on slpes &gt; 20%</v>
      </c>
      <c r="L171" s="33">
        <v>0.90491879825465293</v>
      </c>
    </row>
    <row r="172" spans="1:12" s="29" customFormat="1" x14ac:dyDescent="0.3">
      <c r="A172" s="25" t="s">
        <v>728</v>
      </c>
      <c r="B172" s="26" t="str">
        <f t="shared" si="4"/>
        <v>PCTLOWSEV2002</v>
      </c>
      <c r="C172" s="26" t="str">
        <f>INDEX(Active!J:J, MATCH(Spearmans2!B172, Active!F:F,0),1)</f>
        <v>Percent Low Burn Severity Class For Year</v>
      </c>
      <c r="D172" s="26" t="str">
        <f>INDEX(Active!B:B, MATCH(Spearmans2!B172, Active!F:F,0),1)</f>
        <v>Natural</v>
      </c>
      <c r="E172" s="26" t="str">
        <f>INDEX(Active!D:D, MATCH(Spearmans2!B172, Active!F:F,0),1)</f>
        <v>Wildfire</v>
      </c>
      <c r="F172" s="26" t="str">
        <f>INDEX(Active!K:K, MATCH(Spearmans2!B172, Active!F:F,0),1)</f>
        <v>% of AOI in each burn severity class for wildfires for each year for 1984-2018</v>
      </c>
      <c r="G172" s="27" t="s">
        <v>721</v>
      </c>
      <c r="H172" s="27" t="str">
        <f t="shared" si="5"/>
        <v>PCTBURNAREA2002</v>
      </c>
      <c r="I172" s="27" t="str">
        <f>INDEX(Active!J:J, MATCH(Spearmans2!H172, Active!F:F,0),1)</f>
        <v>Wildfire Burn Percent 1984-2018</v>
      </c>
      <c r="J172" s="27" t="str">
        <f>INDEX(Active!B:B, MATCH(Spearmans2!H172, Active!F:F,0),1)</f>
        <v>Natural</v>
      </c>
      <c r="K172" s="27" t="str">
        <f>INDEX(Active!K:K, MATCH(Spearmans2!H172, Active!F:F,0),1)</f>
        <v>Mean % of AOI burned from wildfires for each year for 1984-2018</v>
      </c>
      <c r="L172" s="28">
        <v>0.98371979574792578</v>
      </c>
    </row>
    <row r="173" spans="1:12" s="34" customFormat="1" x14ac:dyDescent="0.3">
      <c r="A173" s="30" t="s">
        <v>728</v>
      </c>
      <c r="B173" s="31" t="str">
        <f t="shared" si="4"/>
        <v>PCTLOWSEV2002</v>
      </c>
      <c r="C173" s="31" t="str">
        <f>INDEX(Active!J:J, MATCH(Spearmans2!B173, Active!F:F,0),1)</f>
        <v>Percent Low Burn Severity Class For Year</v>
      </c>
      <c r="D173" s="31" t="str">
        <f>INDEX(Active!B:B, MATCH(Spearmans2!B173, Active!F:F,0),1)</f>
        <v>Natural</v>
      </c>
      <c r="E173" s="31" t="str">
        <f>INDEX(Active!D:D, MATCH(Spearmans2!B173, Active!F:F,0),1)</f>
        <v>Wildfire</v>
      </c>
      <c r="F173" s="31" t="str">
        <f>INDEX(Active!K:K, MATCH(Spearmans2!B173, Active!F:F,0),1)</f>
        <v>% of AOI in each burn severity class for wildfires for each year for 1984-2018</v>
      </c>
      <c r="G173" s="32" t="s">
        <v>722</v>
      </c>
      <c r="H173" s="32" t="str">
        <f t="shared" si="5"/>
        <v>PCTFIRE2002</v>
      </c>
      <c r="I173" s="32" t="str">
        <f>INDEX(Active!J:J, MATCH(Spearmans2!H173, Active!F:F,0),1)</f>
        <v>Forest Fire Loss</v>
      </c>
      <c r="J173" s="32" t="str">
        <f>INDEX(Active!B:B, MATCH(Spearmans2!H173, Active!F:F,0),1)</f>
        <v>Natural</v>
      </c>
      <c r="K173" s="32" t="str">
        <f>INDEX(Active!K:K, MATCH(Spearmans2!H173, Active!F:F,0),1)</f>
        <v>% Forest loss to fire (fire perimeter) within AOI</v>
      </c>
      <c r="L173" s="33">
        <v>0.89140942914352284</v>
      </c>
    </row>
    <row r="174" spans="1:12" s="34" customFormat="1" x14ac:dyDescent="0.3">
      <c r="A174" s="30" t="s">
        <v>728</v>
      </c>
      <c r="B174" s="31" t="str">
        <f t="shared" si="4"/>
        <v>PCTLOWSEV2002</v>
      </c>
      <c r="C174" s="31" t="str">
        <f>INDEX(Active!J:J, MATCH(Spearmans2!B174, Active!F:F,0),1)</f>
        <v>Percent Low Burn Severity Class For Year</v>
      </c>
      <c r="D174" s="31" t="str">
        <f>INDEX(Active!B:B, MATCH(Spearmans2!B174, Active!F:F,0),1)</f>
        <v>Natural</v>
      </c>
      <c r="E174" s="31" t="str">
        <f>INDEX(Active!D:D, MATCH(Spearmans2!B174, Active!F:F,0),1)</f>
        <v>Wildfire</v>
      </c>
      <c r="F174" s="31" t="str">
        <f>INDEX(Active!K:K, MATCH(Spearmans2!B174, Active!F:F,0),1)</f>
        <v>% of AOI in each burn severity class for wildfires for each year for 1984-2018</v>
      </c>
      <c r="G174" s="32" t="s">
        <v>724</v>
      </c>
      <c r="H174" s="32" t="str">
        <f t="shared" si="5"/>
        <v>PCTHIGHSEV2002</v>
      </c>
      <c r="I174" s="32" t="str">
        <f>INDEX(Active!J:J, MATCH(Spearmans2!H174, Active!F:F,0),1)</f>
        <v>Percent High Burn Severity Class For Year</v>
      </c>
      <c r="J174" s="32" t="str">
        <f>INDEX(Active!B:B, MATCH(Spearmans2!H174, Active!F:F,0),1)</f>
        <v>Natural</v>
      </c>
      <c r="K174" s="32" t="str">
        <f>INDEX(Active!K:K, MATCH(Spearmans2!H174, Active!F:F,0),1)</f>
        <v>% of AOI in each burn severity class for wildfires for each year for 1984-2018</v>
      </c>
      <c r="L174" s="33">
        <v>0.83541498053807117</v>
      </c>
    </row>
    <row r="175" spans="1:12" s="34" customFormat="1" x14ac:dyDescent="0.3">
      <c r="A175" s="30" t="s">
        <v>728</v>
      </c>
      <c r="B175" s="31" t="str">
        <f t="shared" si="4"/>
        <v>PCTLOWSEV2002</v>
      </c>
      <c r="C175" s="31" t="str">
        <f>INDEX(Active!J:J, MATCH(Spearmans2!B175, Active!F:F,0),1)</f>
        <v>Percent Low Burn Severity Class For Year</v>
      </c>
      <c r="D175" s="31" t="str">
        <f>INDEX(Active!B:B, MATCH(Spearmans2!B175, Active!F:F,0),1)</f>
        <v>Natural</v>
      </c>
      <c r="E175" s="31" t="str">
        <f>INDEX(Active!D:D, MATCH(Spearmans2!B175, Active!F:F,0),1)</f>
        <v>Wildfire</v>
      </c>
      <c r="F175" s="31" t="str">
        <f>INDEX(Active!K:K, MATCH(Spearmans2!B175, Active!F:F,0),1)</f>
        <v>% of AOI in each burn severity class for wildfires for each year for 1984-2018</v>
      </c>
      <c r="G175" s="32" t="s">
        <v>729</v>
      </c>
      <c r="H175" s="32" t="str">
        <f t="shared" si="5"/>
        <v>PCTMODSEV2002</v>
      </c>
      <c r="I175" s="32" t="str">
        <f>INDEX(Active!J:J, MATCH(Spearmans2!H175, Active!F:F,0),1)</f>
        <v>Percent Moderate Burn Severity Class For Year</v>
      </c>
      <c r="J175" s="32" t="str">
        <f>INDEX(Active!B:B, MATCH(Spearmans2!H175, Active!F:F,0),1)</f>
        <v>Natural</v>
      </c>
      <c r="K175" s="32" t="str">
        <f>INDEX(Active!K:K, MATCH(Spearmans2!H175, Active!F:F,0),1)</f>
        <v>% of AOI in each burn severity class for wildfires for each year for 1984-2018</v>
      </c>
      <c r="L175" s="33">
        <v>0.92959217628038981</v>
      </c>
    </row>
    <row r="176" spans="1:12" s="39" customFormat="1" x14ac:dyDescent="0.3">
      <c r="A176" s="35" t="s">
        <v>728</v>
      </c>
      <c r="B176" s="36" t="str">
        <f t="shared" si="4"/>
        <v>PCTLOWSEV2002</v>
      </c>
      <c r="C176" s="36" t="str">
        <f>INDEX(Active!J:J, MATCH(Spearmans2!B176, Active!F:F,0),1)</f>
        <v>Percent Low Burn Severity Class For Year</v>
      </c>
      <c r="D176" s="36" t="str">
        <f>INDEX(Active!B:B, MATCH(Spearmans2!B176, Active!F:F,0),1)</f>
        <v>Natural</v>
      </c>
      <c r="E176" s="36" t="str">
        <f>INDEX(Active!D:D, MATCH(Spearmans2!B176, Active!F:F,0),1)</f>
        <v>Wildfire</v>
      </c>
      <c r="F176" s="36" t="str">
        <f>INDEX(Active!K:K, MATCH(Spearmans2!B176, Active!F:F,0),1)</f>
        <v>% of AOI in each burn severity class for wildfires for each year for 1984-2018</v>
      </c>
      <c r="G176" s="37" t="s">
        <v>733</v>
      </c>
      <c r="H176" s="37" t="str">
        <f t="shared" si="5"/>
        <v>PCTUNDSEV2002</v>
      </c>
      <c r="I176" s="37" t="str">
        <f>INDEX(Active!J:J, MATCH(Spearmans2!H176, Active!F:F,0),1)</f>
        <v>Percent Underburned to Low Burn Severity Class For Year</v>
      </c>
      <c r="J176" s="37" t="str">
        <f>INDEX(Active!B:B, MATCH(Spearmans2!H176, Active!F:F,0),1)</f>
        <v>Natural</v>
      </c>
      <c r="K176" s="37" t="str">
        <f>INDEX(Active!K:K, MATCH(Spearmans2!H176, Active!F:F,0),1)</f>
        <v>% of AOI in each burn severity class for wildfires for each year for 1984-2018</v>
      </c>
      <c r="L176" s="38">
        <v>0.98353839344915539</v>
      </c>
    </row>
    <row r="177" spans="1:12" s="34" customFormat="1" x14ac:dyDescent="0.3">
      <c r="A177" s="30" t="s">
        <v>729</v>
      </c>
      <c r="B177" s="31" t="str">
        <f t="shared" si="4"/>
        <v>PCTMODSEV2002</v>
      </c>
      <c r="C177" s="31" t="str">
        <f>INDEX(Active!J:J, MATCH(Spearmans2!B177, Active!F:F,0),1)</f>
        <v>Percent Moderate Burn Severity Class For Year</v>
      </c>
      <c r="D177" s="31" t="str">
        <f>INDEX(Active!B:B, MATCH(Spearmans2!B177, Active!F:F,0),1)</f>
        <v>Natural</v>
      </c>
      <c r="E177" s="31" t="str">
        <f>INDEX(Active!D:D, MATCH(Spearmans2!B177, Active!F:F,0),1)</f>
        <v>Wildfire</v>
      </c>
      <c r="F177" s="31" t="str">
        <f>INDEX(Active!K:K, MATCH(Spearmans2!B177, Active!F:F,0),1)</f>
        <v>% of AOI in each burn severity class for wildfires for each year for 1984-2018</v>
      </c>
      <c r="G177" s="32" t="s">
        <v>721</v>
      </c>
      <c r="H177" s="32" t="str">
        <f t="shared" si="5"/>
        <v>PCTBURNAREA2002</v>
      </c>
      <c r="I177" s="32" t="str">
        <f>INDEX(Active!J:J, MATCH(Spearmans2!H177, Active!F:F,0),1)</f>
        <v>Wildfire Burn Percent 1984-2018</v>
      </c>
      <c r="J177" s="32" t="str">
        <f>INDEX(Active!B:B, MATCH(Spearmans2!H177, Active!F:F,0),1)</f>
        <v>Natural</v>
      </c>
      <c r="K177" s="32" t="str">
        <f>INDEX(Active!K:K, MATCH(Spearmans2!H177, Active!F:F,0),1)</f>
        <v>Mean % of AOI burned from wildfires for each year for 1984-2018</v>
      </c>
      <c r="L177" s="33">
        <v>0.91507574449390239</v>
      </c>
    </row>
    <row r="178" spans="1:12" s="34" customFormat="1" x14ac:dyDescent="0.3">
      <c r="A178" s="30" t="s">
        <v>729</v>
      </c>
      <c r="B178" s="31" t="str">
        <f t="shared" si="4"/>
        <v>PCTMODSEV2002</v>
      </c>
      <c r="C178" s="31" t="str">
        <f>INDEX(Active!J:J, MATCH(Spearmans2!B178, Active!F:F,0),1)</f>
        <v>Percent Moderate Burn Severity Class For Year</v>
      </c>
      <c r="D178" s="31" t="str">
        <f>INDEX(Active!B:B, MATCH(Spearmans2!B178, Active!F:F,0),1)</f>
        <v>Natural</v>
      </c>
      <c r="E178" s="31" t="str">
        <f>INDEX(Active!D:D, MATCH(Spearmans2!B178, Active!F:F,0),1)</f>
        <v>Wildfire</v>
      </c>
      <c r="F178" s="31" t="str">
        <f>INDEX(Active!K:K, MATCH(Spearmans2!B178, Active!F:F,0),1)</f>
        <v>% of AOI in each burn severity class for wildfires for each year for 1984-2018</v>
      </c>
      <c r="G178" s="32" t="s">
        <v>722</v>
      </c>
      <c r="H178" s="32" t="str">
        <f t="shared" si="5"/>
        <v>PCTFIRE2002</v>
      </c>
      <c r="I178" s="32" t="str">
        <f>INDEX(Active!J:J, MATCH(Spearmans2!H178, Active!F:F,0),1)</f>
        <v>Forest Fire Loss</v>
      </c>
      <c r="J178" s="32" t="str">
        <f>INDEX(Active!B:B, MATCH(Spearmans2!H178, Active!F:F,0),1)</f>
        <v>Natural</v>
      </c>
      <c r="K178" s="32" t="str">
        <f>INDEX(Active!K:K, MATCH(Spearmans2!H178, Active!F:F,0),1)</f>
        <v>% Forest loss to fire (fire perimeter) within AOI</v>
      </c>
      <c r="L178" s="33">
        <v>0.88212569100663485</v>
      </c>
    </row>
    <row r="179" spans="1:12" s="34" customFormat="1" x14ac:dyDescent="0.3">
      <c r="A179" s="30" t="s">
        <v>729</v>
      </c>
      <c r="B179" s="31" t="str">
        <f t="shared" si="4"/>
        <v>PCTMODSEV2002</v>
      </c>
      <c r="C179" s="31" t="str">
        <f>INDEX(Active!J:J, MATCH(Spearmans2!B179, Active!F:F,0),1)</f>
        <v>Percent Moderate Burn Severity Class For Year</v>
      </c>
      <c r="D179" s="31" t="str">
        <f>INDEX(Active!B:B, MATCH(Spearmans2!B179, Active!F:F,0),1)</f>
        <v>Natural</v>
      </c>
      <c r="E179" s="31" t="str">
        <f>INDEX(Active!D:D, MATCH(Spearmans2!B179, Active!F:F,0),1)</f>
        <v>Wildfire</v>
      </c>
      <c r="F179" s="31" t="str">
        <f>INDEX(Active!K:K, MATCH(Spearmans2!B179, Active!F:F,0),1)</f>
        <v>% of AOI in each burn severity class for wildfires for each year for 1984-2018</v>
      </c>
      <c r="G179" s="32" t="s">
        <v>724</v>
      </c>
      <c r="H179" s="32" t="str">
        <f t="shared" si="5"/>
        <v>PCTHIGHSEV2002</v>
      </c>
      <c r="I179" s="32" t="str">
        <f>INDEX(Active!J:J, MATCH(Spearmans2!H179, Active!F:F,0),1)</f>
        <v>Percent High Burn Severity Class For Year</v>
      </c>
      <c r="J179" s="32" t="str">
        <f>INDEX(Active!B:B, MATCH(Spearmans2!H179, Active!F:F,0),1)</f>
        <v>Natural</v>
      </c>
      <c r="K179" s="32" t="str">
        <f>INDEX(Active!K:K, MATCH(Spearmans2!H179, Active!F:F,0),1)</f>
        <v>% of AOI in each burn severity class for wildfires for each year for 1984-2018</v>
      </c>
      <c r="L179" s="33">
        <v>0.89795847864222222</v>
      </c>
    </row>
    <row r="180" spans="1:12" s="34" customFormat="1" x14ac:dyDescent="0.3">
      <c r="A180" s="30" t="s">
        <v>729</v>
      </c>
      <c r="B180" s="31" t="str">
        <f t="shared" si="4"/>
        <v>PCTMODSEV2002</v>
      </c>
      <c r="C180" s="31" t="str">
        <f>INDEX(Active!J:J, MATCH(Spearmans2!B180, Active!F:F,0),1)</f>
        <v>Percent Moderate Burn Severity Class For Year</v>
      </c>
      <c r="D180" s="31" t="str">
        <f>INDEX(Active!B:B, MATCH(Spearmans2!B180, Active!F:F,0),1)</f>
        <v>Natural</v>
      </c>
      <c r="E180" s="31" t="str">
        <f>INDEX(Active!D:D, MATCH(Spearmans2!B180, Active!F:F,0),1)</f>
        <v>Wildfire</v>
      </c>
      <c r="F180" s="31" t="str">
        <f>INDEX(Active!K:K, MATCH(Spearmans2!B180, Active!F:F,0),1)</f>
        <v>% of AOI in each burn severity class for wildfires for each year for 1984-2018</v>
      </c>
      <c r="G180" s="32" t="s">
        <v>728</v>
      </c>
      <c r="H180" s="32" t="str">
        <f t="shared" si="5"/>
        <v>PCTLOWSEV2002</v>
      </c>
      <c r="I180" s="32" t="str">
        <f>INDEX(Active!J:J, MATCH(Spearmans2!H180, Active!F:F,0),1)</f>
        <v>Percent Low Burn Severity Class For Year</v>
      </c>
      <c r="J180" s="32" t="str">
        <f>INDEX(Active!B:B, MATCH(Spearmans2!H180, Active!F:F,0),1)</f>
        <v>Natural</v>
      </c>
      <c r="K180" s="32" t="str">
        <f>INDEX(Active!K:K, MATCH(Spearmans2!H180, Active!F:F,0),1)</f>
        <v>% of AOI in each burn severity class for wildfires for each year for 1984-2018</v>
      </c>
      <c r="L180" s="33">
        <v>0.92959217628038981</v>
      </c>
    </row>
    <row r="181" spans="1:12" s="34" customFormat="1" x14ac:dyDescent="0.3">
      <c r="A181" s="30" t="s">
        <v>729</v>
      </c>
      <c r="B181" s="31" t="str">
        <f t="shared" si="4"/>
        <v>PCTMODSEV2002</v>
      </c>
      <c r="C181" s="31" t="str">
        <f>INDEX(Active!J:J, MATCH(Spearmans2!B181, Active!F:F,0),1)</f>
        <v>Percent Moderate Burn Severity Class For Year</v>
      </c>
      <c r="D181" s="31" t="str">
        <f>INDEX(Active!B:B, MATCH(Spearmans2!B181, Active!F:F,0),1)</f>
        <v>Natural</v>
      </c>
      <c r="E181" s="31" t="str">
        <f>INDEX(Active!D:D, MATCH(Spearmans2!B181, Active!F:F,0),1)</f>
        <v>Wildfire</v>
      </c>
      <c r="F181" s="31" t="str">
        <f>INDEX(Active!K:K, MATCH(Spearmans2!B181, Active!F:F,0),1)</f>
        <v>% of AOI in each burn severity class for wildfires for each year for 1984-2018</v>
      </c>
      <c r="G181" s="32" t="s">
        <v>733</v>
      </c>
      <c r="H181" s="32" t="str">
        <f t="shared" si="5"/>
        <v>PCTUNDSEV2002</v>
      </c>
      <c r="I181" s="32" t="str">
        <f>INDEX(Active!J:J, MATCH(Spearmans2!H181, Active!F:F,0),1)</f>
        <v>Percent Underburned to Low Burn Severity Class For Year</v>
      </c>
      <c r="J181" s="32" t="str">
        <f>INDEX(Active!B:B, MATCH(Spearmans2!H181, Active!F:F,0),1)</f>
        <v>Natural</v>
      </c>
      <c r="K181" s="32" t="str">
        <f>INDEX(Active!K:K, MATCH(Spearmans2!H181, Active!F:F,0),1)</f>
        <v>% of AOI in each burn severity class for wildfires for each year for 1984-2018</v>
      </c>
      <c r="L181" s="33">
        <v>0.9145076465331109</v>
      </c>
    </row>
    <row r="182" spans="1:12" s="63" customFormat="1" x14ac:dyDescent="0.3">
      <c r="A182" s="60" t="s">
        <v>730</v>
      </c>
      <c r="B182" s="60" t="str">
        <f t="shared" si="4"/>
        <v>PCTMXFST2001</v>
      </c>
      <c r="C182" s="60" t="str">
        <f>INDEX(Active!J:J, MATCH(Spearmans2!B182, Active!F:F,0),1)</f>
        <v>Mixed Deciduous/Evergreen Forest Percentage</v>
      </c>
      <c r="D182" s="60" t="str">
        <f>INDEX(Active!B:B, MATCH(Spearmans2!B182, Active!F:F,0),1)</f>
        <v>Natural</v>
      </c>
      <c r="E182" s="60" t="str">
        <f>INDEX(Active!D:D, MATCH(Spearmans2!B182, Active!F:F,0),1)</f>
        <v>Land Cover</v>
      </c>
      <c r="F182" s="60" t="str">
        <f>INDEX(Active!K:K, MATCH(Spearmans2!B182, Active!F:F,0),1)</f>
        <v>% of AOI area classified as mixed deciduous/evergreen forest land cover (NLCD class 43)</v>
      </c>
      <c r="G182" s="61" t="s">
        <v>698</v>
      </c>
      <c r="H182" s="61" t="str">
        <f t="shared" si="5"/>
        <v>distance</v>
      </c>
      <c r="I182" s="61" t="e">
        <f>INDEX(Active!J:J, MATCH(Spearmans2!H182, Active!F:F,0),1)</f>
        <v>#N/A</v>
      </c>
      <c r="J182" s="61" t="e">
        <f>INDEX(Active!B:B, MATCH(Spearmans2!H182, Active!F:F,0),1)</f>
        <v>#N/A</v>
      </c>
      <c r="K182" s="61" t="e">
        <f>INDEX(Active!K:K, MATCH(Spearmans2!H182, Active!F:F,0),1)</f>
        <v>#N/A</v>
      </c>
      <c r="L182" s="62">
        <v>-0.84538260602506365</v>
      </c>
    </row>
    <row r="183" spans="1:12" s="56" customFormat="1" x14ac:dyDescent="0.3">
      <c r="A183" s="52" t="s">
        <v>731</v>
      </c>
      <c r="B183" s="53" t="str">
        <f t="shared" si="4"/>
        <v>PCTNONCARBRESID</v>
      </c>
      <c r="C183" s="53" t="str">
        <f>INDEX(Active!J:J, MATCH(Spearmans2!B183, Active!F:F,0),1)</f>
        <v>Non-Carbonate Residual Material</v>
      </c>
      <c r="D183" s="53" t="str">
        <f>INDEX(Active!B:B, MATCH(Spearmans2!B183, Active!F:F,0),1)</f>
        <v>Natural</v>
      </c>
      <c r="E183" s="53" t="str">
        <f>INDEX(Active!D:D, MATCH(Spearmans2!B183, Active!F:F,0),1)</f>
        <v>Lithology</v>
      </c>
      <c r="F183" s="53" t="str">
        <f>INDEX(Active!K:K, MATCH(Spearmans2!B183, Active!F:F,0),1)</f>
        <v>% of AOI area classified as lithology type: non-carbonate residual material</v>
      </c>
      <c r="G183" s="54" t="s">
        <v>718</v>
      </c>
      <c r="H183" s="54" t="str">
        <f t="shared" si="5"/>
        <v>PCT_EROD</v>
      </c>
      <c r="I183" s="54" t="e">
        <f>INDEX(Active!J:J, MATCH(Spearmans2!H183, Active!F:F,0),1)</f>
        <v>#N/A</v>
      </c>
      <c r="J183" s="54" t="e">
        <f>INDEX(Active!B:B, MATCH(Spearmans2!H183, Active!F:F,0),1)</f>
        <v>#N/A</v>
      </c>
      <c r="K183" s="54" t="e">
        <f>INDEX(Active!K:K, MATCH(Spearmans2!H183, Active!F:F,0),1)</f>
        <v>#N/A</v>
      </c>
      <c r="L183" s="55">
        <v>0.84836205997363667</v>
      </c>
    </row>
    <row r="184" spans="1:12" s="34" customFormat="1" x14ac:dyDescent="0.3">
      <c r="A184" s="30" t="s">
        <v>732</v>
      </c>
      <c r="B184" s="31" t="str">
        <f t="shared" si="4"/>
        <v>PCTSILICIC</v>
      </c>
      <c r="C184" s="31" t="str">
        <f>INDEX(Active!J:J, MATCH(Spearmans2!B184, Active!F:F,0),1)</f>
        <v>Silicic Residual Material</v>
      </c>
      <c r="D184" s="31" t="str">
        <f>INDEX(Active!B:B, MATCH(Spearmans2!B184, Active!F:F,0),1)</f>
        <v>Natural</v>
      </c>
      <c r="E184" s="31" t="str">
        <f>INDEX(Active!D:D, MATCH(Spearmans2!B184, Active!F:F,0),1)</f>
        <v>Lithology</v>
      </c>
      <c r="F184" s="31" t="str">
        <f>INDEX(Active!K:K, MATCH(Spearmans2!B184, Active!F:F,0),1)</f>
        <v>% of AOI area classified as lithology type: silicic residual material</v>
      </c>
      <c r="G184" s="32" t="s">
        <v>718</v>
      </c>
      <c r="H184" s="32" t="str">
        <f t="shared" si="5"/>
        <v>PCT_EROD</v>
      </c>
      <c r="I184" s="32" t="e">
        <f>INDEX(Active!J:J, MATCH(Spearmans2!H184, Active!F:F,0),1)</f>
        <v>#N/A</v>
      </c>
      <c r="J184" s="32" t="e">
        <f>INDEX(Active!B:B, MATCH(Spearmans2!H184, Active!F:F,0),1)</f>
        <v>#N/A</v>
      </c>
      <c r="K184" s="32" t="e">
        <f>INDEX(Active!K:K, MATCH(Spearmans2!H184, Active!F:F,0),1)</f>
        <v>#N/A</v>
      </c>
      <c r="L184" s="33">
        <v>-0.83432817520263403</v>
      </c>
    </row>
    <row r="185" spans="1:12" s="29" customFormat="1" x14ac:dyDescent="0.3">
      <c r="A185" s="25" t="s">
        <v>733</v>
      </c>
      <c r="B185" s="26" t="str">
        <f t="shared" si="4"/>
        <v>PCTUNDSEV2002</v>
      </c>
      <c r="C185" s="26" t="str">
        <f>INDEX(Active!J:J, MATCH(Spearmans2!B185, Active!F:F,0),1)</f>
        <v>Percent Underburned to Low Burn Severity Class For Year</v>
      </c>
      <c r="D185" s="26" t="str">
        <f>INDEX(Active!B:B, MATCH(Spearmans2!B185, Active!F:F,0),1)</f>
        <v>Natural</v>
      </c>
      <c r="E185" s="26" t="str">
        <f>INDEX(Active!D:D, MATCH(Spearmans2!B185, Active!F:F,0),1)</f>
        <v>Wildfire</v>
      </c>
      <c r="F185" s="26" t="str">
        <f>INDEX(Active!K:K, MATCH(Spearmans2!B185, Active!F:F,0),1)</f>
        <v>% of AOI in each burn severity class for wildfires for each year for 1984-2018</v>
      </c>
      <c r="G185" s="27" t="s">
        <v>721</v>
      </c>
      <c r="H185" s="27" t="str">
        <f t="shared" si="5"/>
        <v>PCTBURNAREA2002</v>
      </c>
      <c r="I185" s="27" t="str">
        <f>INDEX(Active!J:J, MATCH(Spearmans2!H185, Active!F:F,0),1)</f>
        <v>Wildfire Burn Percent 1984-2018</v>
      </c>
      <c r="J185" s="27" t="str">
        <f>INDEX(Active!B:B, MATCH(Spearmans2!H185, Active!F:F,0),1)</f>
        <v>Natural</v>
      </c>
      <c r="K185" s="27" t="str">
        <f>INDEX(Active!K:K, MATCH(Spearmans2!H185, Active!F:F,0),1)</f>
        <v>Mean % of AOI burned from wildfires for each year for 1984-2018</v>
      </c>
      <c r="L185" s="28">
        <v>0.99981809551515843</v>
      </c>
    </row>
    <row r="186" spans="1:12" s="34" customFormat="1" x14ac:dyDescent="0.3">
      <c r="A186" s="30" t="s">
        <v>733</v>
      </c>
      <c r="B186" s="31" t="str">
        <f t="shared" si="4"/>
        <v>PCTUNDSEV2002</v>
      </c>
      <c r="C186" s="31" t="str">
        <f>INDEX(Active!J:J, MATCH(Spearmans2!B186, Active!F:F,0),1)</f>
        <v>Percent Underburned to Low Burn Severity Class For Year</v>
      </c>
      <c r="D186" s="31" t="str">
        <f>INDEX(Active!B:B, MATCH(Spearmans2!B186, Active!F:F,0),1)</f>
        <v>Natural</v>
      </c>
      <c r="E186" s="31" t="str">
        <f>INDEX(Active!D:D, MATCH(Spearmans2!B186, Active!F:F,0),1)</f>
        <v>Wildfire</v>
      </c>
      <c r="F186" s="31" t="str">
        <f>INDEX(Active!K:K, MATCH(Spearmans2!B186, Active!F:F,0),1)</f>
        <v>% of AOI in each burn severity class for wildfires for each year for 1984-2018</v>
      </c>
      <c r="G186" s="32" t="s">
        <v>722</v>
      </c>
      <c r="H186" s="32" t="str">
        <f t="shared" si="5"/>
        <v>PCTFIRE2002</v>
      </c>
      <c r="I186" s="32" t="str">
        <f>INDEX(Active!J:J, MATCH(Spearmans2!H186, Active!F:F,0),1)</f>
        <v>Forest Fire Loss</v>
      </c>
      <c r="J186" s="32" t="str">
        <f>INDEX(Active!B:B, MATCH(Spearmans2!H186, Active!F:F,0),1)</f>
        <v>Natural</v>
      </c>
      <c r="K186" s="32" t="str">
        <f>INDEX(Active!K:K, MATCH(Spearmans2!H186, Active!F:F,0),1)</f>
        <v>% Forest loss to fire (fire perimeter) within AOI</v>
      </c>
      <c r="L186" s="33">
        <v>0.87687185125985945</v>
      </c>
    </row>
    <row r="187" spans="1:12" s="34" customFormat="1" x14ac:dyDescent="0.3">
      <c r="A187" s="30" t="s">
        <v>733</v>
      </c>
      <c r="B187" s="31" t="str">
        <f t="shared" si="4"/>
        <v>PCTUNDSEV2002</v>
      </c>
      <c r="C187" s="31" t="str">
        <f>INDEX(Active!J:J, MATCH(Spearmans2!B187, Active!F:F,0),1)</f>
        <v>Percent Underburned to Low Burn Severity Class For Year</v>
      </c>
      <c r="D187" s="31" t="str">
        <f>INDEX(Active!B:B, MATCH(Spearmans2!B187, Active!F:F,0),1)</f>
        <v>Natural</v>
      </c>
      <c r="E187" s="31" t="str">
        <f>INDEX(Active!D:D, MATCH(Spearmans2!B187, Active!F:F,0),1)</f>
        <v>Wildfire</v>
      </c>
      <c r="F187" s="31" t="str">
        <f>INDEX(Active!K:K, MATCH(Spearmans2!B187, Active!F:F,0),1)</f>
        <v>% of AOI in each burn severity class for wildfires for each year for 1984-2018</v>
      </c>
      <c r="G187" s="32" t="s">
        <v>724</v>
      </c>
      <c r="H187" s="32" t="str">
        <f t="shared" si="5"/>
        <v>PCTHIGHSEV2002</v>
      </c>
      <c r="I187" s="32" t="str">
        <f>INDEX(Active!J:J, MATCH(Spearmans2!H187, Active!F:F,0),1)</f>
        <v>Percent High Burn Severity Class For Year</v>
      </c>
      <c r="J187" s="32" t="str">
        <f>INDEX(Active!B:B, MATCH(Spearmans2!H187, Active!F:F,0),1)</f>
        <v>Natural</v>
      </c>
      <c r="K187" s="32" t="str">
        <f>INDEX(Active!K:K, MATCH(Spearmans2!H187, Active!F:F,0),1)</f>
        <v>% of AOI in each burn severity class for wildfires for each year for 1984-2018</v>
      </c>
      <c r="L187" s="33">
        <v>0.82144192658824988</v>
      </c>
    </row>
    <row r="188" spans="1:12" s="34" customFormat="1" x14ac:dyDescent="0.3">
      <c r="A188" s="30" t="s">
        <v>733</v>
      </c>
      <c r="B188" s="31" t="str">
        <f t="shared" si="4"/>
        <v>PCTUNDSEV2002</v>
      </c>
      <c r="C188" s="31" t="str">
        <f>INDEX(Active!J:J, MATCH(Spearmans2!B188, Active!F:F,0),1)</f>
        <v>Percent Underburned to Low Burn Severity Class For Year</v>
      </c>
      <c r="D188" s="31" t="str">
        <f>INDEX(Active!B:B, MATCH(Spearmans2!B188, Active!F:F,0),1)</f>
        <v>Natural</v>
      </c>
      <c r="E188" s="31" t="str">
        <f>INDEX(Active!D:D, MATCH(Spearmans2!B188, Active!F:F,0),1)</f>
        <v>Wildfire</v>
      </c>
      <c r="F188" s="31" t="str">
        <f>INDEX(Active!K:K, MATCH(Spearmans2!B188, Active!F:F,0),1)</f>
        <v>% of AOI in each burn severity class for wildfires for each year for 1984-2018</v>
      </c>
      <c r="G188" s="32" t="s">
        <v>728</v>
      </c>
      <c r="H188" s="32" t="str">
        <f t="shared" si="5"/>
        <v>PCTLOWSEV2002</v>
      </c>
      <c r="I188" s="32" t="str">
        <f>INDEX(Active!J:J, MATCH(Spearmans2!H188, Active!F:F,0),1)</f>
        <v>Percent Low Burn Severity Class For Year</v>
      </c>
      <c r="J188" s="32" t="str">
        <f>INDEX(Active!B:B, MATCH(Spearmans2!H188, Active!F:F,0),1)</f>
        <v>Natural</v>
      </c>
      <c r="K188" s="32" t="str">
        <f>INDEX(Active!K:K, MATCH(Spearmans2!H188, Active!F:F,0),1)</f>
        <v>% of AOI in each burn severity class for wildfires for each year for 1984-2018</v>
      </c>
      <c r="L188" s="33">
        <v>0.98353839344915539</v>
      </c>
    </row>
    <row r="189" spans="1:12" s="39" customFormat="1" x14ac:dyDescent="0.3">
      <c r="A189" s="35" t="s">
        <v>733</v>
      </c>
      <c r="B189" s="36" t="str">
        <f t="shared" si="4"/>
        <v>PCTUNDSEV2002</v>
      </c>
      <c r="C189" s="36" t="str">
        <f>INDEX(Active!J:J, MATCH(Spearmans2!B189, Active!F:F,0),1)</f>
        <v>Percent Underburned to Low Burn Severity Class For Year</v>
      </c>
      <c r="D189" s="36" t="str">
        <f>INDEX(Active!B:B, MATCH(Spearmans2!B189, Active!F:F,0),1)</f>
        <v>Natural</v>
      </c>
      <c r="E189" s="36" t="str">
        <f>INDEX(Active!D:D, MATCH(Spearmans2!B189, Active!F:F,0),1)</f>
        <v>Wildfire</v>
      </c>
      <c r="F189" s="36" t="str">
        <f>INDEX(Active!K:K, MATCH(Spearmans2!B189, Active!F:F,0),1)</f>
        <v>% of AOI in each burn severity class for wildfires for each year for 1984-2018</v>
      </c>
      <c r="G189" s="37" t="s">
        <v>729</v>
      </c>
      <c r="H189" s="37" t="str">
        <f t="shared" si="5"/>
        <v>PCTMODSEV2002</v>
      </c>
      <c r="I189" s="37" t="str">
        <f>INDEX(Active!J:J, MATCH(Spearmans2!H189, Active!F:F,0),1)</f>
        <v>Percent Moderate Burn Severity Class For Year</v>
      </c>
      <c r="J189" s="37" t="str">
        <f>INDEX(Active!B:B, MATCH(Spearmans2!H189, Active!F:F,0),1)</f>
        <v>Natural</v>
      </c>
      <c r="K189" s="37" t="str">
        <f>INDEX(Active!K:K, MATCH(Spearmans2!H189, Active!F:F,0),1)</f>
        <v>% of AOI in each burn severity class for wildfires for each year for 1984-2018</v>
      </c>
      <c r="L189" s="38">
        <v>0.9145076465331109</v>
      </c>
    </row>
    <row r="190" spans="1:12" s="34" customFormat="1" x14ac:dyDescent="0.3">
      <c r="A190" s="30" t="s">
        <v>734</v>
      </c>
      <c r="B190" s="31" t="str">
        <f t="shared" si="4"/>
        <v>PCTURBLO2001</v>
      </c>
      <c r="C190" s="31" t="str">
        <f>INDEX(Active!J:J, MATCH(Spearmans2!B190, Active!F:F,0),1)</f>
        <v>Developed, Low Intensity Land Use Percentage</v>
      </c>
      <c r="D190" s="31" t="str">
        <f>INDEX(Active!B:B, MATCH(Spearmans2!B190, Active!F:F,0),1)</f>
        <v>Anthropogenic</v>
      </c>
      <c r="E190" s="31" t="str">
        <f>INDEX(Active!D:D, MATCH(Spearmans2!B190, Active!F:F,0),1)</f>
        <v>Land Cover</v>
      </c>
      <c r="F190" s="31" t="str">
        <f>INDEX(Active!K:K, MATCH(Spearmans2!B190, Active!F:F,0),1)</f>
        <v>% of AOI area classified as developed, low-intensity land use (NLCD class 22)</v>
      </c>
      <c r="G190" s="32" t="s">
        <v>735</v>
      </c>
      <c r="H190" s="32" t="str">
        <f t="shared" si="5"/>
        <v>PCTURBMD2001</v>
      </c>
      <c r="I190" s="32" t="str">
        <f>INDEX(Active!J:J, MATCH(Spearmans2!H190, Active!F:F,0),1)</f>
        <v>Developed, Medium Intensity Land Use Percentage</v>
      </c>
      <c r="J190" s="32" t="str">
        <f>INDEX(Active!B:B, MATCH(Spearmans2!H190, Active!F:F,0),1)</f>
        <v>Anthropogenic</v>
      </c>
      <c r="K190" s="32" t="str">
        <f>INDEX(Active!K:K, MATCH(Spearmans2!H190, Active!F:F,0),1)</f>
        <v>% of AOI area classified as developed, medium-intensity land use (NLCD class 23)</v>
      </c>
      <c r="L190" s="33">
        <v>0.83802881150845432</v>
      </c>
    </row>
    <row r="191" spans="1:12" s="56" customFormat="1" x14ac:dyDescent="0.3">
      <c r="A191" s="52" t="s">
        <v>735</v>
      </c>
      <c r="B191" s="53" t="str">
        <f t="shared" si="4"/>
        <v>PCTURBMD2001</v>
      </c>
      <c r="C191" s="53" t="str">
        <f>INDEX(Active!J:J, MATCH(Spearmans2!B191, Active!F:F,0),1)</f>
        <v>Developed, Medium Intensity Land Use Percentage</v>
      </c>
      <c r="D191" s="53" t="str">
        <f>INDEX(Active!B:B, MATCH(Spearmans2!B191, Active!F:F,0),1)</f>
        <v>Anthropogenic</v>
      </c>
      <c r="E191" s="53" t="str">
        <f>INDEX(Active!D:D, MATCH(Spearmans2!B191, Active!F:F,0),1)</f>
        <v>Land Cover</v>
      </c>
      <c r="F191" s="53" t="str">
        <f>INDEX(Active!K:K, MATCH(Spearmans2!B191, Active!F:F,0),1)</f>
        <v>% of AOI area classified as developed, medium-intensity land use (NLCD class 23)</v>
      </c>
      <c r="G191" s="54" t="s">
        <v>734</v>
      </c>
      <c r="H191" s="54" t="str">
        <f t="shared" si="5"/>
        <v>PCTURBLO2001</v>
      </c>
      <c r="I191" s="54" t="str">
        <f>INDEX(Active!J:J, MATCH(Spearmans2!H191, Active!F:F,0),1)</f>
        <v>Developed, Low Intensity Land Use Percentage</v>
      </c>
      <c r="J191" s="54" t="str">
        <f>INDEX(Active!B:B, MATCH(Spearmans2!H191, Active!F:F,0),1)</f>
        <v>Anthropogenic</v>
      </c>
      <c r="K191" s="54" t="str">
        <f>INDEX(Active!K:K, MATCH(Spearmans2!H191, Active!F:F,0),1)</f>
        <v>% of AOI area classified as developed, low-intensity land use (NLCD class 22)</v>
      </c>
      <c r="L191" s="55">
        <v>0.83802881150845432</v>
      </c>
    </row>
    <row r="192" spans="1:12" s="34" customFormat="1" x14ac:dyDescent="0.3">
      <c r="A192" s="30" t="s">
        <v>736</v>
      </c>
      <c r="B192" s="31" t="str">
        <f t="shared" si="4"/>
        <v>PERM</v>
      </c>
      <c r="C192" s="31" t="str">
        <f>INDEX(Active!J:J, MATCH(Spearmans2!B192, Active!F:F,0),1)</f>
        <v>Mean Permeability</v>
      </c>
      <c r="D192" s="31" t="str">
        <f>INDEX(Active!B:B, MATCH(Spearmans2!B192, Active!F:F,0),1)</f>
        <v>Natural</v>
      </c>
      <c r="E192" s="31" t="str">
        <f>INDEX(Active!D:D, MATCH(Spearmans2!B192, Active!F:F,0),1)</f>
        <v>Lithology</v>
      </c>
      <c r="F192" s="31" t="str">
        <f>INDEX(Active!K:K, MATCH(Spearmans2!B192, Active!F:F,0),1)</f>
        <v>Mean permeability (cm/hour) of soils (STATSGO) within AOI</v>
      </c>
      <c r="G192" s="32" t="s">
        <v>694</v>
      </c>
      <c r="H192" s="32" t="str">
        <f t="shared" si="5"/>
        <v>CLAY</v>
      </c>
      <c r="I192" s="32" t="str">
        <f>INDEX(Active!J:J, MATCH(Spearmans2!H192, Active!F:F,0),1)</f>
        <v>Clay Mean</v>
      </c>
      <c r="J192" s="32" t="str">
        <f>INDEX(Active!B:B, MATCH(Spearmans2!H192, Active!F:F,0),1)</f>
        <v>Natural</v>
      </c>
      <c r="K192" s="32" t="str">
        <f>INDEX(Active!K:K, MATCH(Spearmans2!H192, Active!F:F,0),1)</f>
        <v>Mean % clay content of soils (STATSGO) within AOI</v>
      </c>
      <c r="L192" s="33">
        <v>-0.81356922588513803</v>
      </c>
    </row>
    <row r="193" spans="1:12" s="34" customFormat="1" x14ac:dyDescent="0.3">
      <c r="A193" s="30" t="s">
        <v>736</v>
      </c>
      <c r="B193" s="31" t="str">
        <f t="shared" si="4"/>
        <v>PERM</v>
      </c>
      <c r="C193" s="31" t="str">
        <f>INDEX(Active!J:J, MATCH(Spearmans2!B193, Active!F:F,0),1)</f>
        <v>Mean Permeability</v>
      </c>
      <c r="D193" s="31" t="str">
        <f>INDEX(Active!B:B, MATCH(Spearmans2!B193, Active!F:F,0),1)</f>
        <v>Natural</v>
      </c>
      <c r="E193" s="31" t="str">
        <f>INDEX(Active!D:D, MATCH(Spearmans2!B193, Active!F:F,0),1)</f>
        <v>Lithology</v>
      </c>
      <c r="F193" s="31" t="str">
        <f>INDEX(Active!K:K, MATCH(Spearmans2!B193, Active!F:F,0),1)</f>
        <v>Mean permeability (cm/hour) of soils (STATSGO) within AOI</v>
      </c>
      <c r="G193" s="32" t="s">
        <v>743</v>
      </c>
      <c r="H193" s="32" t="str">
        <f t="shared" si="5"/>
        <v>SAND</v>
      </c>
      <c r="I193" s="32" t="str">
        <f>INDEX(Active!J:J, MATCH(Spearmans2!H193, Active!F:F,0),1)</f>
        <v>Mean Sand Content</v>
      </c>
      <c r="J193" s="32" t="str">
        <f>INDEX(Active!B:B, MATCH(Spearmans2!H193, Active!F:F,0),1)</f>
        <v>Natural</v>
      </c>
      <c r="K193" s="32" t="str">
        <f>INDEX(Active!K:K, MATCH(Spearmans2!H193, Active!F:F,0),1)</f>
        <v>Mean % sand content of soils (STATSGO) within AOI</v>
      </c>
      <c r="L193" s="33">
        <v>0.86571964583634009</v>
      </c>
    </row>
    <row r="194" spans="1:12" s="56" customFormat="1" x14ac:dyDescent="0.3">
      <c r="A194" s="52" t="s">
        <v>737</v>
      </c>
      <c r="B194" s="53" t="str">
        <f t="shared" ref="B194:B255" si="6">IF(RIGHT(A194,2)="WS", LEFT(A194,LEN(A194)-2),A194)</f>
        <v>POPDEN2010</v>
      </c>
      <c r="C194" s="53" t="str">
        <f>INDEX(Active!J:J, MATCH(Spearmans2!B194, Active!F:F,0),1)</f>
        <v>Mean Population Density</v>
      </c>
      <c r="D194" s="53" t="str">
        <f>INDEX(Active!B:B, MATCH(Spearmans2!B194, Active!F:F,0),1)</f>
        <v>Anthropogenic</v>
      </c>
      <c r="E194" s="53" t="str">
        <f>INDEX(Active!D:D, MATCH(Spearmans2!B194, Active!F:F,0),1)</f>
        <v>Urban</v>
      </c>
      <c r="F194" s="53" t="str">
        <f>INDEX(Active!K:K, MATCH(Spearmans2!B194, Active!F:F,0),1)</f>
        <v>Mean populating density (people/square km) within AOI</v>
      </c>
      <c r="G194" s="54" t="s">
        <v>702</v>
      </c>
      <c r="H194" s="54" t="str">
        <f t="shared" ref="H194:H255" si="7">IF(RIGHT(G194,2)="WS", LEFT(G194,LEN(G194)-2),G194)</f>
        <v>HUDEN2010</v>
      </c>
      <c r="I194" s="54" t="str">
        <f>INDEX(Active!J:J, MATCH(Spearmans2!H194, Active!F:F,0),1)</f>
        <v>Mean Housing Density</v>
      </c>
      <c r="J194" s="54" t="str">
        <f>INDEX(Active!B:B, MATCH(Spearmans2!H194, Active!F:F,0),1)</f>
        <v>Anthropogenic</v>
      </c>
      <c r="K194" s="54" t="str">
        <f>INDEX(Active!K:K, MATCH(Spearmans2!H194, Active!F:F,0),1)</f>
        <v>Mean housing unit density (housing units/square km) within AOI.</v>
      </c>
      <c r="L194" s="55">
        <v>0.98022173631246912</v>
      </c>
    </row>
    <row r="195" spans="1:12" s="47" customFormat="1" x14ac:dyDescent="0.3">
      <c r="A195" s="44" t="s">
        <v>738</v>
      </c>
      <c r="B195" s="44" t="str">
        <f t="shared" si="6"/>
        <v>PRECIP_MINUS_EVT</v>
      </c>
      <c r="C195" s="44" t="str">
        <f>INDEX(Active!J:J, MATCH(Spearmans2!B195, Active!F:F,0),1)</f>
        <v>Surplus Precipitation</v>
      </c>
      <c r="D195" s="44" t="str">
        <f>INDEX(Active!B:B, MATCH(Spearmans2!B195, Active!F:F,0),1)</f>
        <v>Natural</v>
      </c>
      <c r="E195" s="44" t="str">
        <f>INDEX(Active!D:D, MATCH(Spearmans2!B195, Active!F:F,0),1)</f>
        <v>Climate</v>
      </c>
      <c r="F195" s="44" t="str">
        <f>INDEX(Active!K:K, MATCH(Spearmans2!B195,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5" s="45" t="s">
        <v>703</v>
      </c>
      <c r="H195" s="45" t="str">
        <f t="shared" si="7"/>
        <v>INORGNWETDEP2008</v>
      </c>
      <c r="I195" s="45" t="str">
        <f>INDEX(Active!J:J, MATCH(Spearmans2!H195, Active!F:F,0),1)</f>
        <v>Mean Annual Precipitation-Weighted Nitrogen</v>
      </c>
      <c r="J195" s="45" t="str">
        <f>INDEX(Active!B:B, MATCH(Spearmans2!H195, Active!F:F,0),1)</f>
        <v>Natural</v>
      </c>
      <c r="K195" s="45" t="str">
        <f>INDEX(Active!K:K, MATCH(Spearmans2!H195, Active!F:F,0),1)</f>
        <v>Annual gradient map of precipitation-weighted mean deposition for inorganic nitrogen wet deposition from nitrate and ammonium for 2008 in kg of N/ha/yr, within AOI</v>
      </c>
      <c r="L195" s="46">
        <v>0.82821834776470604</v>
      </c>
    </row>
    <row r="196" spans="1:12" s="47" customFormat="1" x14ac:dyDescent="0.3">
      <c r="A196" s="44" t="s">
        <v>738</v>
      </c>
      <c r="B196" s="44" t="str">
        <f t="shared" si="6"/>
        <v>PRECIP_MINUS_EVT</v>
      </c>
      <c r="C196" s="44" t="str">
        <f>INDEX(Active!J:J, MATCH(Spearmans2!B196, Active!F:F,0),1)</f>
        <v>Surplus Precipitation</v>
      </c>
      <c r="D196" s="44" t="str">
        <f>INDEX(Active!B:B, MATCH(Spearmans2!B196, Active!F:F,0),1)</f>
        <v>Natural</v>
      </c>
      <c r="E196" s="44" t="str">
        <f>INDEX(Active!D:D, MATCH(Spearmans2!B196, Active!F:F,0),1)</f>
        <v>Climate</v>
      </c>
      <c r="F196" s="44" t="str">
        <f>INDEX(Active!K:K, MATCH(Spearmans2!B196,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6" s="45" t="s">
        <v>715</v>
      </c>
      <c r="H196" s="45" t="str">
        <f t="shared" si="7"/>
        <v>NO32008</v>
      </c>
      <c r="I196" s="45" t="str">
        <f>INDEX(Active!J:J, MATCH(Spearmans2!H196, Active!F:F,0),1)</f>
        <v>Mean Annual Precipitation-Weighted NO3 Mean</v>
      </c>
      <c r="J196" s="45" t="str">
        <f>INDEX(Active!B:B, MATCH(Spearmans2!H196, Active!F:F,0),1)</f>
        <v>Natural</v>
      </c>
      <c r="K196" s="45" t="str">
        <f>INDEX(Active!K:K, MATCH(Spearmans2!H196, Active!F:F,0),1)</f>
        <v>Annual gradient map of precipitation-weighted mean deposition for nitrate ion concentration wet deposition for 2008 in kg of NO3/ha/yr, within AOI</v>
      </c>
      <c r="L196" s="46">
        <v>0.85660198361277895</v>
      </c>
    </row>
    <row r="197" spans="1:12" s="47" customFormat="1" x14ac:dyDescent="0.3">
      <c r="A197" s="44" t="s">
        <v>738</v>
      </c>
      <c r="B197" s="44" t="str">
        <f t="shared" si="6"/>
        <v>PRECIP_MINUS_EVT</v>
      </c>
      <c r="C197" s="44" t="str">
        <f>INDEX(Active!J:J, MATCH(Spearmans2!B197, Active!F:F,0),1)</f>
        <v>Surplus Precipitation</v>
      </c>
      <c r="D197" s="44" t="str">
        <f>INDEX(Active!B:B, MATCH(Spearmans2!B197, Active!F:F,0),1)</f>
        <v>Natural</v>
      </c>
      <c r="E197" s="44" t="str">
        <f>INDEX(Active!D:D, MATCH(Spearmans2!B197, Active!F:F,0),1)</f>
        <v>Climate</v>
      </c>
      <c r="F197" s="44" t="str">
        <f>INDEX(Active!K:K, MATCH(Spearmans2!B197,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7" s="45" t="s">
        <v>739</v>
      </c>
      <c r="H197" s="45" t="str">
        <f t="shared" si="7"/>
        <v>PRECIP2008</v>
      </c>
      <c r="I197" s="45" t="str">
        <f>INDEX(Active!J:J, MATCH(Spearmans2!H197, Active!F:F,0),1)</f>
        <v>Mean Precipitation</v>
      </c>
      <c r="J197" s="45" t="str">
        <f>INDEX(Active!B:B, MATCH(Spearmans2!H197, Active!F:F,0),1)</f>
        <v>Natural</v>
      </c>
      <c r="K197" s="45" t="str">
        <f>INDEX(Active!K:K, MATCH(Spearmans2!H197, Active!F:F,0),1)</f>
        <v>PRISM climate data - 30-year normal mean precipitation (mm): Annual period: 2008 and 2009 within the AOI</v>
      </c>
      <c r="L197" s="46">
        <v>0.9822474930234395</v>
      </c>
    </row>
    <row r="198" spans="1:12" s="47" customFormat="1" x14ac:dyDescent="0.3">
      <c r="A198" s="44" t="s">
        <v>738</v>
      </c>
      <c r="B198" s="44" t="str">
        <f t="shared" si="6"/>
        <v>PRECIP_MINUS_EVT</v>
      </c>
      <c r="C198" s="44" t="str">
        <f>INDEX(Active!J:J, MATCH(Spearmans2!B198, Active!F:F,0),1)</f>
        <v>Surplus Precipitation</v>
      </c>
      <c r="D198" s="44" t="str">
        <f>INDEX(Active!B:B, MATCH(Spearmans2!B198, Active!F:F,0),1)</f>
        <v>Natural</v>
      </c>
      <c r="E198" s="44" t="str">
        <f>INDEX(Active!D:D, MATCH(Spearmans2!B198, Active!F:F,0),1)</f>
        <v>Climate</v>
      </c>
      <c r="F198" s="44" t="str">
        <f>INDEX(Active!K:K, MATCH(Spearmans2!B198,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8" s="45" t="s">
        <v>740</v>
      </c>
      <c r="H198" s="45" t="str">
        <f t="shared" si="7"/>
        <v>PRECIP8110</v>
      </c>
      <c r="I198" s="45" t="str">
        <f>INDEX(Active!J:J, MATCH(Spearmans2!H198, Active!F:F,0),1)</f>
        <v>30-year Mean Annual Precipitation</v>
      </c>
      <c r="J198" s="45" t="str">
        <f>INDEX(Active!B:B, MATCH(Spearmans2!H198, Active!F:F,0),1)</f>
        <v>Natural</v>
      </c>
      <c r="K198" s="45" t="str">
        <f>INDEX(Active!K:K, MATCH(Spearmans2!H198, Active!F:F,0),1)</f>
        <v>PRISM climate data - 30-year normal mean precipitation (mm): Annual period: 1981-2010 within AOI</v>
      </c>
      <c r="L198" s="46">
        <v>0.99272237641585637</v>
      </c>
    </row>
    <row r="199" spans="1:12" s="47" customFormat="1" x14ac:dyDescent="0.3">
      <c r="A199" s="44" t="s">
        <v>738</v>
      </c>
      <c r="B199" s="44" t="str">
        <f t="shared" si="6"/>
        <v>PRECIP_MINUS_EVT</v>
      </c>
      <c r="C199" s="44" t="str">
        <f>INDEX(Active!J:J, MATCH(Spearmans2!B199, Active!F:F,0),1)</f>
        <v>Surplus Precipitation</v>
      </c>
      <c r="D199" s="44" t="str">
        <f>INDEX(Active!B:B, MATCH(Spearmans2!B199, Active!F:F,0),1)</f>
        <v>Natural</v>
      </c>
      <c r="E199" s="44" t="str">
        <f>INDEX(Active!D:D, MATCH(Spearmans2!B199, Active!F:F,0),1)</f>
        <v>Climate</v>
      </c>
      <c r="F199" s="44" t="str">
        <f>INDEX(Active!K:K, MATCH(Spearmans2!B199,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199" s="45" t="s">
        <v>741</v>
      </c>
      <c r="H199" s="45" t="str">
        <f t="shared" si="7"/>
        <v>PRECIP9120</v>
      </c>
      <c r="I199" s="45" t="str">
        <f>INDEX(Active!J:J, MATCH(Spearmans2!H199, Active!F:F,0),1)</f>
        <v>30-year Mean Annual Precipitation</v>
      </c>
      <c r="J199" s="45" t="str">
        <f>INDEX(Active!B:B, MATCH(Spearmans2!H199, Active!F:F,0),1)</f>
        <v>Natural</v>
      </c>
      <c r="K199" s="45" t="str">
        <f>INDEX(Active!K:K, MATCH(Spearmans2!H199, Active!F:F,0),1)</f>
        <v>PRISM climate data - 30-year normal mean precipitation (mm): Annual period: 1991-2020 within the AOI</v>
      </c>
      <c r="L199" s="46">
        <v>0.98012697198484866</v>
      </c>
    </row>
    <row r="200" spans="1:12" s="47" customFormat="1" x14ac:dyDescent="0.3">
      <c r="A200" s="44" t="s">
        <v>738</v>
      </c>
      <c r="B200" s="44" t="str">
        <f t="shared" si="6"/>
        <v>PRECIP_MINUS_EVT</v>
      </c>
      <c r="C200" s="44" t="str">
        <f>INDEX(Active!J:J, MATCH(Spearmans2!B200, Active!F:F,0),1)</f>
        <v>Surplus Precipitation</v>
      </c>
      <c r="D200" s="44" t="str">
        <f>INDEX(Active!B:B, MATCH(Spearmans2!B200, Active!F:F,0),1)</f>
        <v>Natural</v>
      </c>
      <c r="E200" s="44" t="str">
        <f>INDEX(Active!D:D, MATCH(Spearmans2!B200, Active!F:F,0),1)</f>
        <v>Climate</v>
      </c>
      <c r="F200" s="44" t="str">
        <f>INDEX(Active!K:K, MATCH(Spearmans2!B200,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G200" s="45" t="s">
        <v>745</v>
      </c>
      <c r="H200" s="45" t="str">
        <f t="shared" si="7"/>
        <v>SN2008</v>
      </c>
      <c r="I200" s="45" t="str">
        <f>INDEX(Active!J:J, MATCH(Spearmans2!H200, Active!F:F,0),1)</f>
        <v>Annual Mean Sulfur and Nitrogen Wet Deposition</v>
      </c>
      <c r="J200" s="45" t="str">
        <f>INDEX(Active!B:B, MATCH(Spearmans2!H200, Active!F:F,0),1)</f>
        <v>Natural</v>
      </c>
      <c r="K200" s="45" t="str">
        <f>INDEX(Active!K:K, MATCH(Spearmans2!H200, Active!F:F,0),1)</f>
        <v>Annual gradient map of precipitation-weighted mean deposition for average sulfur &amp; nitrogen wet deposition for 2008 in kg of S+N/ha/yr, within AOI</v>
      </c>
      <c r="L200" s="46">
        <v>0.89176990528102618</v>
      </c>
    </row>
    <row r="201" spans="1:12" s="43" customFormat="1" x14ac:dyDescent="0.3">
      <c r="A201" s="40" t="s">
        <v>739</v>
      </c>
      <c r="B201" s="40" t="str">
        <f t="shared" si="6"/>
        <v>PRECIP2008</v>
      </c>
      <c r="C201" s="40" t="str">
        <f>INDEX(Active!J:J, MATCH(Spearmans2!B201, Active!F:F,0),1)</f>
        <v>Mean Precipitation</v>
      </c>
      <c r="D201" s="40" t="str">
        <f>INDEX(Active!B:B, MATCH(Spearmans2!B201, Active!F:F,0),1)</f>
        <v>Natural</v>
      </c>
      <c r="E201" s="40" t="str">
        <f>INDEX(Active!D:D, MATCH(Spearmans2!B201, Active!F:F,0),1)</f>
        <v>Climate</v>
      </c>
      <c r="F201" s="40" t="str">
        <f>INDEX(Active!K:K, MATCH(Spearmans2!B201, Active!F:F,0),1)</f>
        <v>PRISM climate data - 30-year normal mean precipitation (mm): Annual period: 2008 and 2009 within the AOI</v>
      </c>
      <c r="G201" s="41" t="s">
        <v>715</v>
      </c>
      <c r="H201" s="41" t="str">
        <f t="shared" si="7"/>
        <v>NO32008</v>
      </c>
      <c r="I201" s="41" t="str">
        <f>INDEX(Active!J:J, MATCH(Spearmans2!H201, Active!F:F,0),1)</f>
        <v>Mean Annual Precipitation-Weighted NO3 Mean</v>
      </c>
      <c r="J201" s="41" t="str">
        <f>INDEX(Active!B:B, MATCH(Spearmans2!H201, Active!F:F,0),1)</f>
        <v>Natural</v>
      </c>
      <c r="K201" s="41" t="str">
        <f>INDEX(Active!K:K, MATCH(Spearmans2!H201, Active!F:F,0),1)</f>
        <v>Annual gradient map of precipitation-weighted mean deposition for nitrate ion concentration wet deposition for 2008 in kg of NO3/ha/yr, within AOI</v>
      </c>
      <c r="L201" s="42">
        <v>0.83614377621567193</v>
      </c>
    </row>
    <row r="202" spans="1:12" s="47" customFormat="1" x14ac:dyDescent="0.3">
      <c r="A202" s="44" t="s">
        <v>739</v>
      </c>
      <c r="B202" s="44" t="str">
        <f t="shared" si="6"/>
        <v>PRECIP2008</v>
      </c>
      <c r="C202" s="44" t="str">
        <f>INDEX(Active!J:J, MATCH(Spearmans2!B202, Active!F:F,0),1)</f>
        <v>Mean Precipitation</v>
      </c>
      <c r="D202" s="44" t="str">
        <f>INDEX(Active!B:B, MATCH(Spearmans2!B202, Active!F:F,0),1)</f>
        <v>Natural</v>
      </c>
      <c r="E202" s="44" t="str">
        <f>INDEX(Active!D:D, MATCH(Spearmans2!B202, Active!F:F,0),1)</f>
        <v>Climate</v>
      </c>
      <c r="F202" s="44" t="str">
        <f>INDEX(Active!K:K, MATCH(Spearmans2!B202, Active!F:F,0),1)</f>
        <v>PRISM climate data - 30-year normal mean precipitation (mm): Annual period: 2008 and 2009 within the AOI</v>
      </c>
      <c r="G202" s="45" t="s">
        <v>738</v>
      </c>
      <c r="H202" s="45" t="str">
        <f t="shared" si="7"/>
        <v>PRECIP_MINUS_EVT</v>
      </c>
      <c r="I202" s="45" t="str">
        <f>INDEX(Active!J:J, MATCH(Spearmans2!H202, Active!F:F,0),1)</f>
        <v>Surplus Precipitation</v>
      </c>
      <c r="J202" s="45" t="str">
        <f>INDEX(Active!B:B, MATCH(Spearmans2!H202, Active!F:F,0),1)</f>
        <v>Natural</v>
      </c>
      <c r="K202" s="45" t="str">
        <f>INDEX(Active!K:K, MATCH(Spearmans2!H202,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02" s="46">
        <v>0.9822474930234395</v>
      </c>
    </row>
    <row r="203" spans="1:12" s="47" customFormat="1" x14ac:dyDescent="0.3">
      <c r="A203" s="44" t="s">
        <v>739</v>
      </c>
      <c r="B203" s="44" t="str">
        <f t="shared" si="6"/>
        <v>PRECIP2008</v>
      </c>
      <c r="C203" s="44" t="str">
        <f>INDEX(Active!J:J, MATCH(Spearmans2!B203, Active!F:F,0),1)</f>
        <v>Mean Precipitation</v>
      </c>
      <c r="D203" s="44" t="str">
        <f>INDEX(Active!B:B, MATCH(Spearmans2!B203, Active!F:F,0),1)</f>
        <v>Natural</v>
      </c>
      <c r="E203" s="44" t="str">
        <f>INDEX(Active!D:D, MATCH(Spearmans2!B203, Active!F:F,0),1)</f>
        <v>Climate</v>
      </c>
      <c r="F203" s="44" t="str">
        <f>INDEX(Active!K:K, MATCH(Spearmans2!B203, Active!F:F,0),1)</f>
        <v>PRISM climate data - 30-year normal mean precipitation (mm): Annual period: 2008 and 2009 within the AOI</v>
      </c>
      <c r="G203" s="45" t="s">
        <v>740</v>
      </c>
      <c r="H203" s="45" t="str">
        <f t="shared" si="7"/>
        <v>PRECIP8110</v>
      </c>
      <c r="I203" s="45" t="str">
        <f>INDEX(Active!J:J, MATCH(Spearmans2!H203, Active!F:F,0),1)</f>
        <v>30-year Mean Annual Precipitation</v>
      </c>
      <c r="J203" s="45" t="str">
        <f>INDEX(Active!B:B, MATCH(Spearmans2!H203, Active!F:F,0),1)</f>
        <v>Natural</v>
      </c>
      <c r="K203" s="45" t="str">
        <f>INDEX(Active!K:K, MATCH(Spearmans2!H203, Active!F:F,0),1)</f>
        <v>PRISM climate data - 30-year normal mean precipitation (mm): Annual period: 1981-2010 within AOI</v>
      </c>
      <c r="L203" s="46">
        <v>0.97783853526665043</v>
      </c>
    </row>
    <row r="204" spans="1:12" s="47" customFormat="1" x14ac:dyDescent="0.3">
      <c r="A204" s="44" t="s">
        <v>739</v>
      </c>
      <c r="B204" s="44" t="str">
        <f t="shared" si="6"/>
        <v>PRECIP2008</v>
      </c>
      <c r="C204" s="44" t="str">
        <f>INDEX(Active!J:J, MATCH(Spearmans2!B204, Active!F:F,0),1)</f>
        <v>Mean Precipitation</v>
      </c>
      <c r="D204" s="44" t="str">
        <f>INDEX(Active!B:B, MATCH(Spearmans2!B204, Active!F:F,0),1)</f>
        <v>Natural</v>
      </c>
      <c r="E204" s="44" t="str">
        <f>INDEX(Active!D:D, MATCH(Spearmans2!B204, Active!F:F,0),1)</f>
        <v>Climate</v>
      </c>
      <c r="F204" s="44" t="str">
        <f>INDEX(Active!K:K, MATCH(Spearmans2!B204, Active!F:F,0),1)</f>
        <v>PRISM climate data - 30-year normal mean precipitation (mm): Annual period: 2008 and 2009 within the AOI</v>
      </c>
      <c r="G204" s="45" t="s">
        <v>741</v>
      </c>
      <c r="H204" s="45" t="str">
        <f t="shared" si="7"/>
        <v>PRECIP9120</v>
      </c>
      <c r="I204" s="45" t="str">
        <f>INDEX(Active!J:J, MATCH(Spearmans2!H204, Active!F:F,0),1)</f>
        <v>30-year Mean Annual Precipitation</v>
      </c>
      <c r="J204" s="45" t="str">
        <f>INDEX(Active!B:B, MATCH(Spearmans2!H204, Active!F:F,0),1)</f>
        <v>Natural</v>
      </c>
      <c r="K204" s="45" t="str">
        <f>INDEX(Active!K:K, MATCH(Spearmans2!H204, Active!F:F,0),1)</f>
        <v>PRISM climate data - 30-year normal mean precipitation (mm): Annual period: 1991-2020 within the AOI</v>
      </c>
      <c r="L204" s="46">
        <v>0.96425568935856487</v>
      </c>
    </row>
    <row r="205" spans="1:12" s="51" customFormat="1" x14ac:dyDescent="0.3">
      <c r="A205" s="48" t="s">
        <v>739</v>
      </c>
      <c r="B205" s="48" t="str">
        <f t="shared" si="6"/>
        <v>PRECIP2008</v>
      </c>
      <c r="C205" s="48" t="str">
        <f>INDEX(Active!J:J, MATCH(Spearmans2!B205, Active!F:F,0),1)</f>
        <v>Mean Precipitation</v>
      </c>
      <c r="D205" s="48" t="str">
        <f>INDEX(Active!B:B, MATCH(Spearmans2!B205, Active!F:F,0),1)</f>
        <v>Natural</v>
      </c>
      <c r="E205" s="48" t="str">
        <f>INDEX(Active!D:D, MATCH(Spearmans2!B205, Active!F:F,0),1)</f>
        <v>Climate</v>
      </c>
      <c r="F205" s="48" t="str">
        <f>INDEX(Active!K:K, MATCH(Spearmans2!B205, Active!F:F,0),1)</f>
        <v>PRISM climate data - 30-year normal mean precipitation (mm): Annual period: 2008 and 2009 within the AOI</v>
      </c>
      <c r="G205" s="49" t="s">
        <v>745</v>
      </c>
      <c r="H205" s="49" t="str">
        <f t="shared" si="7"/>
        <v>SN2008</v>
      </c>
      <c r="I205" s="49" t="str">
        <f>INDEX(Active!J:J, MATCH(Spearmans2!H205, Active!F:F,0),1)</f>
        <v>Annual Mean Sulfur and Nitrogen Wet Deposition</v>
      </c>
      <c r="J205" s="49" t="str">
        <f>INDEX(Active!B:B, MATCH(Spearmans2!H205, Active!F:F,0),1)</f>
        <v>Natural</v>
      </c>
      <c r="K205" s="49" t="str">
        <f>INDEX(Active!K:K, MATCH(Spearmans2!H205, Active!F:F,0),1)</f>
        <v>Annual gradient map of precipitation-weighted mean deposition for average sulfur &amp; nitrogen wet deposition for 2008 in kg of S+N/ha/yr, within AOI</v>
      </c>
      <c r="L205" s="50">
        <v>0.86847628409928734</v>
      </c>
    </row>
    <row r="206" spans="1:12" s="43" customFormat="1" x14ac:dyDescent="0.3">
      <c r="A206" s="40" t="s">
        <v>740</v>
      </c>
      <c r="B206" s="40" t="str">
        <f t="shared" si="6"/>
        <v>PRECIP8110</v>
      </c>
      <c r="C206" s="40" t="str">
        <f>INDEX(Active!J:J, MATCH(Spearmans2!B206, Active!F:F,0),1)</f>
        <v>30-year Mean Annual Precipitation</v>
      </c>
      <c r="D206" s="40" t="str">
        <f>INDEX(Active!B:B, MATCH(Spearmans2!B206, Active!F:F,0),1)</f>
        <v>Natural</v>
      </c>
      <c r="E206" s="40" t="str">
        <f>INDEX(Active!D:D, MATCH(Spearmans2!B206, Active!F:F,0),1)</f>
        <v>Climate</v>
      </c>
      <c r="F206" s="40" t="str">
        <f>INDEX(Active!K:K, MATCH(Spearmans2!B206, Active!F:F,0),1)</f>
        <v>PRISM climate data - 30-year normal mean precipitation (mm): Annual period: 1981-2010 within AOI</v>
      </c>
      <c r="G206" s="41" t="s">
        <v>703</v>
      </c>
      <c r="H206" s="41" t="str">
        <f t="shared" si="7"/>
        <v>INORGNWETDEP2008</v>
      </c>
      <c r="I206" s="41" t="str">
        <f>INDEX(Active!J:J, MATCH(Spearmans2!H206, Active!F:F,0),1)</f>
        <v>Mean Annual Precipitation-Weighted Nitrogen</v>
      </c>
      <c r="J206" s="41" t="str">
        <f>INDEX(Active!B:B, MATCH(Spearmans2!H206, Active!F:F,0),1)</f>
        <v>Natural</v>
      </c>
      <c r="K206" s="41" t="str">
        <f>INDEX(Active!K:K, MATCH(Spearmans2!H206, Active!F:F,0),1)</f>
        <v>Annual gradient map of precipitation-weighted mean deposition for inorganic nitrogen wet deposition from nitrate and ammonium for 2008 in kg of N/ha/yr, within AOI</v>
      </c>
      <c r="L206" s="42">
        <v>0.82385496799483859</v>
      </c>
    </row>
    <row r="207" spans="1:12" s="47" customFormat="1" x14ac:dyDescent="0.3">
      <c r="A207" s="44" t="s">
        <v>740</v>
      </c>
      <c r="B207" s="44" t="str">
        <f t="shared" si="6"/>
        <v>PRECIP8110</v>
      </c>
      <c r="C207" s="44" t="str">
        <f>INDEX(Active!J:J, MATCH(Spearmans2!B207, Active!F:F,0),1)</f>
        <v>30-year Mean Annual Precipitation</v>
      </c>
      <c r="D207" s="44" t="str">
        <f>INDEX(Active!B:B, MATCH(Spearmans2!B207, Active!F:F,0),1)</f>
        <v>Natural</v>
      </c>
      <c r="E207" s="44" t="str">
        <f>INDEX(Active!D:D, MATCH(Spearmans2!B207, Active!F:F,0),1)</f>
        <v>Climate</v>
      </c>
      <c r="F207" s="44" t="str">
        <f>INDEX(Active!K:K, MATCH(Spearmans2!B207, Active!F:F,0),1)</f>
        <v>PRISM climate data - 30-year normal mean precipitation (mm): Annual period: 1981-2010 within AOI</v>
      </c>
      <c r="G207" s="45" t="s">
        <v>715</v>
      </c>
      <c r="H207" s="45" t="str">
        <f t="shared" si="7"/>
        <v>NO32008</v>
      </c>
      <c r="I207" s="45" t="str">
        <f>INDEX(Active!J:J, MATCH(Spearmans2!H207, Active!F:F,0),1)</f>
        <v>Mean Annual Precipitation-Weighted NO3 Mean</v>
      </c>
      <c r="J207" s="45" t="str">
        <f>INDEX(Active!B:B, MATCH(Spearmans2!H207, Active!F:F,0),1)</f>
        <v>Natural</v>
      </c>
      <c r="K207" s="45" t="str">
        <f>INDEX(Active!K:K, MATCH(Spearmans2!H207, Active!F:F,0),1)</f>
        <v>Annual gradient map of precipitation-weighted mean deposition for nitrate ion concentration wet deposition for 2008 in kg of NO3/ha/yr, within AOI</v>
      </c>
      <c r="L207" s="46">
        <v>0.85116464184681717</v>
      </c>
    </row>
    <row r="208" spans="1:12" s="47" customFormat="1" x14ac:dyDescent="0.3">
      <c r="A208" s="44" t="s">
        <v>740</v>
      </c>
      <c r="B208" s="44" t="str">
        <f t="shared" si="6"/>
        <v>PRECIP8110</v>
      </c>
      <c r="C208" s="44" t="str">
        <f>INDEX(Active!J:J, MATCH(Spearmans2!B208, Active!F:F,0),1)</f>
        <v>30-year Mean Annual Precipitation</v>
      </c>
      <c r="D208" s="44" t="str">
        <f>INDEX(Active!B:B, MATCH(Spearmans2!B208, Active!F:F,0),1)</f>
        <v>Natural</v>
      </c>
      <c r="E208" s="44" t="str">
        <f>INDEX(Active!D:D, MATCH(Spearmans2!B208, Active!F:F,0),1)</f>
        <v>Climate</v>
      </c>
      <c r="F208" s="44" t="str">
        <f>INDEX(Active!K:K, MATCH(Spearmans2!B208, Active!F:F,0),1)</f>
        <v>PRISM climate data - 30-year normal mean precipitation (mm): Annual period: 1981-2010 within AOI</v>
      </c>
      <c r="G208" s="45" t="s">
        <v>738</v>
      </c>
      <c r="H208" s="45" t="str">
        <f t="shared" si="7"/>
        <v>PRECIP_MINUS_EVT</v>
      </c>
      <c r="I208" s="45" t="str">
        <f>INDEX(Active!J:J, MATCH(Spearmans2!H208, Active!F:F,0),1)</f>
        <v>Surplus Precipitation</v>
      </c>
      <c r="J208" s="45" t="str">
        <f>INDEX(Active!B:B, MATCH(Spearmans2!H208, Active!F:F,0),1)</f>
        <v>Natural</v>
      </c>
      <c r="K208" s="45" t="str">
        <f>INDEX(Active!K:K, MATCH(Spearmans2!H208,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08" s="46">
        <v>0.99272237641585637</v>
      </c>
    </row>
    <row r="209" spans="1:12" s="47" customFormat="1" x14ac:dyDescent="0.3">
      <c r="A209" s="44" t="s">
        <v>740</v>
      </c>
      <c r="B209" s="44" t="str">
        <f t="shared" si="6"/>
        <v>PRECIP8110</v>
      </c>
      <c r="C209" s="44" t="str">
        <f>INDEX(Active!J:J, MATCH(Spearmans2!B209, Active!F:F,0),1)</f>
        <v>30-year Mean Annual Precipitation</v>
      </c>
      <c r="D209" s="44" t="str">
        <f>INDEX(Active!B:B, MATCH(Spearmans2!B209, Active!F:F,0),1)</f>
        <v>Natural</v>
      </c>
      <c r="E209" s="44" t="str">
        <f>INDEX(Active!D:D, MATCH(Spearmans2!B209, Active!F:F,0),1)</f>
        <v>Climate</v>
      </c>
      <c r="F209" s="44" t="str">
        <f>INDEX(Active!K:K, MATCH(Spearmans2!B209, Active!F:F,0),1)</f>
        <v>PRISM climate data - 30-year normal mean precipitation (mm): Annual period: 1981-2010 within AOI</v>
      </c>
      <c r="G209" s="45" t="s">
        <v>739</v>
      </c>
      <c r="H209" s="45" t="str">
        <f t="shared" si="7"/>
        <v>PRECIP2008</v>
      </c>
      <c r="I209" s="45" t="str">
        <f>INDEX(Active!J:J, MATCH(Spearmans2!H209, Active!F:F,0),1)</f>
        <v>Mean Precipitation</v>
      </c>
      <c r="J209" s="45" t="str">
        <f>INDEX(Active!B:B, MATCH(Spearmans2!H209, Active!F:F,0),1)</f>
        <v>Natural</v>
      </c>
      <c r="K209" s="45" t="str">
        <f>INDEX(Active!K:K, MATCH(Spearmans2!H209, Active!F:F,0),1)</f>
        <v>PRISM climate data - 30-year normal mean precipitation (mm): Annual period: 2008 and 2009 within the AOI</v>
      </c>
      <c r="L209" s="46">
        <v>0.97783853526665043</v>
      </c>
    </row>
    <row r="210" spans="1:12" s="47" customFormat="1" x14ac:dyDescent="0.3">
      <c r="A210" s="44" t="s">
        <v>740</v>
      </c>
      <c r="B210" s="44" t="str">
        <f t="shared" si="6"/>
        <v>PRECIP8110</v>
      </c>
      <c r="C210" s="44" t="str">
        <f>INDEX(Active!J:J, MATCH(Spearmans2!B210, Active!F:F,0),1)</f>
        <v>30-year Mean Annual Precipitation</v>
      </c>
      <c r="D210" s="44" t="str">
        <f>INDEX(Active!B:B, MATCH(Spearmans2!B210, Active!F:F,0),1)</f>
        <v>Natural</v>
      </c>
      <c r="E210" s="44" t="str">
        <f>INDEX(Active!D:D, MATCH(Spearmans2!B210, Active!F:F,0),1)</f>
        <v>Climate</v>
      </c>
      <c r="F210" s="44" t="str">
        <f>INDEX(Active!K:K, MATCH(Spearmans2!B210, Active!F:F,0),1)</f>
        <v>PRISM climate data - 30-year normal mean precipitation (mm): Annual period: 1981-2010 within AOI</v>
      </c>
      <c r="G210" s="45" t="s">
        <v>741</v>
      </c>
      <c r="H210" s="45" t="str">
        <f t="shared" si="7"/>
        <v>PRECIP9120</v>
      </c>
      <c r="I210" s="45" t="str">
        <f>INDEX(Active!J:J, MATCH(Spearmans2!H210, Active!F:F,0),1)</f>
        <v>30-year Mean Annual Precipitation</v>
      </c>
      <c r="J210" s="45" t="str">
        <f>INDEX(Active!B:B, MATCH(Spearmans2!H210, Active!F:F,0),1)</f>
        <v>Natural</v>
      </c>
      <c r="K210" s="45" t="str">
        <f>INDEX(Active!K:K, MATCH(Spearmans2!H210, Active!F:F,0),1)</f>
        <v>PRISM climate data - 30-year normal mean precipitation (mm): Annual period: 1991-2020 within the AOI</v>
      </c>
      <c r="L210" s="46">
        <v>0.98745136397149191</v>
      </c>
    </row>
    <row r="211" spans="1:12" s="51" customFormat="1" x14ac:dyDescent="0.3">
      <c r="A211" s="48" t="s">
        <v>740</v>
      </c>
      <c r="B211" s="48" t="str">
        <f t="shared" si="6"/>
        <v>PRECIP8110</v>
      </c>
      <c r="C211" s="48" t="str">
        <f>INDEX(Active!J:J, MATCH(Spearmans2!B211, Active!F:F,0),1)</f>
        <v>30-year Mean Annual Precipitation</v>
      </c>
      <c r="D211" s="48" t="str">
        <f>INDEX(Active!B:B, MATCH(Spearmans2!B211, Active!F:F,0),1)</f>
        <v>Natural</v>
      </c>
      <c r="E211" s="48" t="str">
        <f>INDEX(Active!D:D, MATCH(Spearmans2!B211, Active!F:F,0),1)</f>
        <v>Climate</v>
      </c>
      <c r="F211" s="48" t="str">
        <f>INDEX(Active!K:K, MATCH(Spearmans2!B211, Active!F:F,0),1)</f>
        <v>PRISM climate data - 30-year normal mean precipitation (mm): Annual period: 1981-2010 within AOI</v>
      </c>
      <c r="G211" s="49" t="s">
        <v>745</v>
      </c>
      <c r="H211" s="49" t="str">
        <f t="shared" si="7"/>
        <v>SN2008</v>
      </c>
      <c r="I211" s="49" t="str">
        <f>INDEX(Active!J:J, MATCH(Spearmans2!H211, Active!F:F,0),1)</f>
        <v>Annual Mean Sulfur and Nitrogen Wet Deposition</v>
      </c>
      <c r="J211" s="49" t="str">
        <f>INDEX(Active!B:B, MATCH(Spearmans2!H211, Active!F:F,0),1)</f>
        <v>Natural</v>
      </c>
      <c r="K211" s="49" t="str">
        <f>INDEX(Active!K:K, MATCH(Spearmans2!H211, Active!F:F,0),1)</f>
        <v>Annual gradient map of precipitation-weighted mean deposition for average sulfur &amp; nitrogen wet deposition for 2008 in kg of S+N/ha/yr, within AOI</v>
      </c>
      <c r="L211" s="50">
        <v>0.88618658146964868</v>
      </c>
    </row>
    <row r="212" spans="1:12" s="47" customFormat="1" x14ac:dyDescent="0.3">
      <c r="A212" s="44" t="s">
        <v>741</v>
      </c>
      <c r="B212" s="44" t="str">
        <f t="shared" si="6"/>
        <v>PRECIP9120</v>
      </c>
      <c r="C212" s="44" t="str">
        <f>INDEX(Active!J:J, MATCH(Spearmans2!B212, Active!F:F,0),1)</f>
        <v>30-year Mean Annual Precipitation</v>
      </c>
      <c r="D212" s="44" t="str">
        <f>INDEX(Active!B:B, MATCH(Spearmans2!B212, Active!F:F,0),1)</f>
        <v>Natural</v>
      </c>
      <c r="E212" s="44" t="str">
        <f>INDEX(Active!D:D, MATCH(Spearmans2!B212, Active!F:F,0),1)</f>
        <v>Climate</v>
      </c>
      <c r="F212" s="44" t="str">
        <f>INDEX(Active!K:K, MATCH(Spearmans2!B212, Active!F:F,0),1)</f>
        <v>PRISM climate data - 30-year normal mean precipitation (mm): Annual period: 1991-2020 within the AOI</v>
      </c>
      <c r="G212" s="45" t="s">
        <v>703</v>
      </c>
      <c r="H212" s="45" t="str">
        <f t="shared" si="7"/>
        <v>INORGNWETDEP2008</v>
      </c>
      <c r="I212" s="45" t="str">
        <f>INDEX(Active!J:J, MATCH(Spearmans2!H212, Active!F:F,0),1)</f>
        <v>Mean Annual Precipitation-Weighted Nitrogen</v>
      </c>
      <c r="J212" s="45" t="str">
        <f>INDEX(Active!B:B, MATCH(Spearmans2!H212, Active!F:F,0),1)</f>
        <v>Natural</v>
      </c>
      <c r="K212" s="45" t="str">
        <f>INDEX(Active!K:K, MATCH(Spearmans2!H212, Active!F:F,0),1)</f>
        <v>Annual gradient map of precipitation-weighted mean deposition for inorganic nitrogen wet deposition from nitrate and ammonium for 2008 in kg of N/ha/yr, within AOI</v>
      </c>
      <c r="L212" s="46">
        <v>0.82737180277079514</v>
      </c>
    </row>
    <row r="213" spans="1:12" s="47" customFormat="1" x14ac:dyDescent="0.3">
      <c r="A213" s="44" t="s">
        <v>741</v>
      </c>
      <c r="B213" s="44" t="str">
        <f t="shared" si="6"/>
        <v>PRECIP9120</v>
      </c>
      <c r="C213" s="44" t="str">
        <f>INDEX(Active!J:J, MATCH(Spearmans2!B213, Active!F:F,0),1)</f>
        <v>30-year Mean Annual Precipitation</v>
      </c>
      <c r="D213" s="44" t="str">
        <f>INDEX(Active!B:B, MATCH(Spearmans2!B213, Active!F:F,0),1)</f>
        <v>Natural</v>
      </c>
      <c r="E213" s="44" t="str">
        <f>INDEX(Active!D:D, MATCH(Spearmans2!B213, Active!F:F,0),1)</f>
        <v>Climate</v>
      </c>
      <c r="F213" s="44" t="str">
        <f>INDEX(Active!K:K, MATCH(Spearmans2!B213, Active!F:F,0),1)</f>
        <v>PRISM climate data - 30-year normal mean precipitation (mm): Annual period: 1991-2020 within the AOI</v>
      </c>
      <c r="G213" s="45" t="s">
        <v>715</v>
      </c>
      <c r="H213" s="45" t="str">
        <f t="shared" si="7"/>
        <v>NO32008</v>
      </c>
      <c r="I213" s="45" t="str">
        <f>INDEX(Active!J:J, MATCH(Spearmans2!H213, Active!F:F,0),1)</f>
        <v>Mean Annual Precipitation-Weighted NO3 Mean</v>
      </c>
      <c r="J213" s="45" t="str">
        <f>INDEX(Active!B:B, MATCH(Spearmans2!H213, Active!F:F,0),1)</f>
        <v>Natural</v>
      </c>
      <c r="K213" s="45" t="str">
        <f>INDEX(Active!K:K, MATCH(Spearmans2!H213, Active!F:F,0),1)</f>
        <v>Annual gradient map of precipitation-weighted mean deposition for nitrate ion concentration wet deposition for 2008 in kg of NO3/ha/yr, within AOI</v>
      </c>
      <c r="L213" s="46">
        <v>0.85581784919456372</v>
      </c>
    </row>
    <row r="214" spans="1:12" s="47" customFormat="1" x14ac:dyDescent="0.3">
      <c r="A214" s="44" t="s">
        <v>741</v>
      </c>
      <c r="B214" s="44" t="str">
        <f t="shared" si="6"/>
        <v>PRECIP9120</v>
      </c>
      <c r="C214" s="44" t="str">
        <f>INDEX(Active!J:J, MATCH(Spearmans2!B214, Active!F:F,0),1)</f>
        <v>30-year Mean Annual Precipitation</v>
      </c>
      <c r="D214" s="44" t="str">
        <f>INDEX(Active!B:B, MATCH(Spearmans2!B214, Active!F:F,0),1)</f>
        <v>Natural</v>
      </c>
      <c r="E214" s="44" t="str">
        <f>INDEX(Active!D:D, MATCH(Spearmans2!B214, Active!F:F,0),1)</f>
        <v>Climate</v>
      </c>
      <c r="F214" s="44" t="str">
        <f>INDEX(Active!K:K, MATCH(Spearmans2!B214, Active!F:F,0),1)</f>
        <v>PRISM climate data - 30-year normal mean precipitation (mm): Annual period: 1991-2020 within the AOI</v>
      </c>
      <c r="G214" s="45" t="s">
        <v>738</v>
      </c>
      <c r="H214" s="45" t="str">
        <f t="shared" si="7"/>
        <v>PRECIP_MINUS_EVT</v>
      </c>
      <c r="I214" s="45" t="str">
        <f>INDEX(Active!J:J, MATCH(Spearmans2!H214, Active!F:F,0),1)</f>
        <v>Surplus Precipitation</v>
      </c>
      <c r="J214" s="45" t="str">
        <f>INDEX(Active!B:B, MATCH(Spearmans2!H214, Active!F:F,0),1)</f>
        <v>Natural</v>
      </c>
      <c r="K214" s="45" t="str">
        <f>INDEX(Active!K:K, MATCH(Spearmans2!H214,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14" s="46">
        <v>0.98012697198484866</v>
      </c>
    </row>
    <row r="215" spans="1:12" s="47" customFormat="1" x14ac:dyDescent="0.3">
      <c r="A215" s="44" t="s">
        <v>741</v>
      </c>
      <c r="B215" s="44" t="str">
        <f t="shared" si="6"/>
        <v>PRECIP9120</v>
      </c>
      <c r="C215" s="44" t="str">
        <f>INDEX(Active!J:J, MATCH(Spearmans2!B215, Active!F:F,0),1)</f>
        <v>30-year Mean Annual Precipitation</v>
      </c>
      <c r="D215" s="44" t="str">
        <f>INDEX(Active!B:B, MATCH(Spearmans2!B215, Active!F:F,0),1)</f>
        <v>Natural</v>
      </c>
      <c r="E215" s="44" t="str">
        <f>INDEX(Active!D:D, MATCH(Spearmans2!B215, Active!F:F,0),1)</f>
        <v>Climate</v>
      </c>
      <c r="F215" s="44" t="str">
        <f>INDEX(Active!K:K, MATCH(Spearmans2!B215, Active!F:F,0),1)</f>
        <v>PRISM climate data - 30-year normal mean precipitation (mm): Annual period: 1991-2020 within the AOI</v>
      </c>
      <c r="G215" s="45" t="s">
        <v>739</v>
      </c>
      <c r="H215" s="45" t="str">
        <f t="shared" si="7"/>
        <v>PRECIP2008</v>
      </c>
      <c r="I215" s="45" t="str">
        <f>INDEX(Active!J:J, MATCH(Spearmans2!H215, Active!F:F,0),1)</f>
        <v>Mean Precipitation</v>
      </c>
      <c r="J215" s="45" t="str">
        <f>INDEX(Active!B:B, MATCH(Spearmans2!H215, Active!F:F,0),1)</f>
        <v>Natural</v>
      </c>
      <c r="K215" s="45" t="str">
        <f>INDEX(Active!K:K, MATCH(Spearmans2!H215, Active!F:F,0),1)</f>
        <v>PRISM climate data - 30-year normal mean precipitation (mm): Annual period: 2008 and 2009 within the AOI</v>
      </c>
      <c r="L215" s="46">
        <v>0.96425568935856487</v>
      </c>
    </row>
    <row r="216" spans="1:12" s="47" customFormat="1" x14ac:dyDescent="0.3">
      <c r="A216" s="44" t="s">
        <v>741</v>
      </c>
      <c r="B216" s="44" t="str">
        <f t="shared" si="6"/>
        <v>PRECIP9120</v>
      </c>
      <c r="C216" s="44" t="str">
        <f>INDEX(Active!J:J, MATCH(Spearmans2!B216, Active!F:F,0),1)</f>
        <v>30-year Mean Annual Precipitation</v>
      </c>
      <c r="D216" s="44" t="str">
        <f>INDEX(Active!B:B, MATCH(Spearmans2!B216, Active!F:F,0),1)</f>
        <v>Natural</v>
      </c>
      <c r="E216" s="44" t="str">
        <f>INDEX(Active!D:D, MATCH(Spearmans2!B216, Active!F:F,0),1)</f>
        <v>Climate</v>
      </c>
      <c r="F216" s="44" t="str">
        <f>INDEX(Active!K:K, MATCH(Spearmans2!B216, Active!F:F,0),1)</f>
        <v>PRISM climate data - 30-year normal mean precipitation (mm): Annual period: 1991-2020 within the AOI</v>
      </c>
      <c r="G216" s="45" t="s">
        <v>740</v>
      </c>
      <c r="H216" s="45" t="str">
        <f t="shared" si="7"/>
        <v>PRECIP8110</v>
      </c>
      <c r="I216" s="45" t="str">
        <f>INDEX(Active!J:J, MATCH(Spearmans2!H216, Active!F:F,0),1)</f>
        <v>30-year Mean Annual Precipitation</v>
      </c>
      <c r="J216" s="45" t="str">
        <f>INDEX(Active!B:B, MATCH(Spearmans2!H216, Active!F:F,0),1)</f>
        <v>Natural</v>
      </c>
      <c r="K216" s="45" t="str">
        <f>INDEX(Active!K:K, MATCH(Spearmans2!H216, Active!F:F,0),1)</f>
        <v>PRISM climate data - 30-year normal mean precipitation (mm): Annual period: 1981-2010 within AOI</v>
      </c>
      <c r="L216" s="46">
        <v>0.98745136397149191</v>
      </c>
    </row>
    <row r="217" spans="1:12" s="47" customFormat="1" x14ac:dyDescent="0.3">
      <c r="A217" s="44" t="s">
        <v>741</v>
      </c>
      <c r="B217" s="44" t="str">
        <f t="shared" si="6"/>
        <v>PRECIP9120</v>
      </c>
      <c r="C217" s="44" t="str">
        <f>INDEX(Active!J:J, MATCH(Spearmans2!B217, Active!F:F,0),1)</f>
        <v>30-year Mean Annual Precipitation</v>
      </c>
      <c r="D217" s="44" t="str">
        <f>INDEX(Active!B:B, MATCH(Spearmans2!B217, Active!F:F,0),1)</f>
        <v>Natural</v>
      </c>
      <c r="E217" s="44" t="str">
        <f>INDEX(Active!D:D, MATCH(Spearmans2!B217, Active!F:F,0),1)</f>
        <v>Climate</v>
      </c>
      <c r="F217" s="44" t="str">
        <f>INDEX(Active!K:K, MATCH(Spearmans2!B217, Active!F:F,0),1)</f>
        <v>PRISM climate data - 30-year normal mean precipitation (mm): Annual period: 1991-2020 within the AOI</v>
      </c>
      <c r="G217" s="45" t="s">
        <v>742</v>
      </c>
      <c r="H217" s="45" t="str">
        <f t="shared" si="7"/>
        <v>RUNOFF</v>
      </c>
      <c r="I217" s="45" t="str">
        <f>INDEX(Active!J:J, MATCH(Spearmans2!H217, Active!F:F,0),1)</f>
        <v>Mean Runoff</v>
      </c>
      <c r="J217" s="45" t="str">
        <f>INDEX(Active!B:B, MATCH(Spearmans2!H217, Active!F:F,0),1)</f>
        <v>Natural</v>
      </c>
      <c r="K217" s="45" t="str">
        <f>INDEX(Active!K:K, MATCH(Spearmans2!H217, Active!F:F,0),1)</f>
        <v>Mean runoff (mm) within AOI</v>
      </c>
      <c r="L217" s="46">
        <v>0.80502971568903448</v>
      </c>
    </row>
    <row r="218" spans="1:12" s="47" customFormat="1" x14ac:dyDescent="0.3">
      <c r="A218" s="44" t="s">
        <v>741</v>
      </c>
      <c r="B218" s="44" t="str">
        <f t="shared" si="6"/>
        <v>PRECIP9120</v>
      </c>
      <c r="C218" s="44" t="str">
        <f>INDEX(Active!J:J, MATCH(Spearmans2!B218, Active!F:F,0),1)</f>
        <v>30-year Mean Annual Precipitation</v>
      </c>
      <c r="D218" s="44" t="str">
        <f>INDEX(Active!B:B, MATCH(Spearmans2!B218, Active!F:F,0),1)</f>
        <v>Natural</v>
      </c>
      <c r="E218" s="44" t="str">
        <f>INDEX(Active!D:D, MATCH(Spearmans2!B218, Active!F:F,0),1)</f>
        <v>Climate</v>
      </c>
      <c r="F218" s="44" t="str">
        <f>INDEX(Active!K:K, MATCH(Spearmans2!B218, Active!F:F,0),1)</f>
        <v>PRISM climate data - 30-year normal mean precipitation (mm): Annual period: 1991-2020 within the AOI</v>
      </c>
      <c r="G218" s="45" t="s">
        <v>745</v>
      </c>
      <c r="H218" s="45" t="str">
        <f t="shared" si="7"/>
        <v>SN2008</v>
      </c>
      <c r="I218" s="45" t="str">
        <f>INDEX(Active!J:J, MATCH(Spearmans2!H218, Active!F:F,0),1)</f>
        <v>Annual Mean Sulfur and Nitrogen Wet Deposition</v>
      </c>
      <c r="J218" s="45" t="str">
        <f>INDEX(Active!B:B, MATCH(Spearmans2!H218, Active!F:F,0),1)</f>
        <v>Natural</v>
      </c>
      <c r="K218" s="45" t="str">
        <f>INDEX(Active!K:K, MATCH(Spearmans2!H218, Active!F:F,0),1)</f>
        <v>Annual gradient map of precipitation-weighted mean deposition for average sulfur &amp; nitrogen wet deposition for 2008 in kg of S+N/ha/yr, within AOI</v>
      </c>
      <c r="L218" s="46">
        <v>0.88258790857704605</v>
      </c>
    </row>
    <row r="219" spans="1:12" s="43" customFormat="1" x14ac:dyDescent="0.3">
      <c r="A219" s="40" t="s">
        <v>742</v>
      </c>
      <c r="B219" s="40" t="str">
        <f t="shared" si="6"/>
        <v>RUNOFF</v>
      </c>
      <c r="C219" s="40" t="str">
        <f>INDEX(Active!J:J, MATCH(Spearmans2!B219, Active!F:F,0),1)</f>
        <v>Mean Runoff</v>
      </c>
      <c r="D219" s="40" t="str">
        <f>INDEX(Active!B:B, MATCH(Spearmans2!B219, Active!F:F,0),1)</f>
        <v>Natural</v>
      </c>
      <c r="E219" s="40" t="str">
        <f>INDEX(Active!D:D, MATCH(Spearmans2!B219, Active!F:F,0),1)</f>
        <v>Flow</v>
      </c>
      <c r="F219" s="40" t="str">
        <f>INDEX(Active!K:K, MATCH(Spearmans2!B219, Active!F:F,0),1)</f>
        <v>Mean runoff (mm) within AOI</v>
      </c>
      <c r="G219" s="41" t="s">
        <v>741</v>
      </c>
      <c r="H219" s="41" t="str">
        <f t="shared" si="7"/>
        <v>PRECIP9120</v>
      </c>
      <c r="I219" s="41" t="str">
        <f>INDEX(Active!J:J, MATCH(Spearmans2!H219, Active!F:F,0),1)</f>
        <v>30-year Mean Annual Precipitation</v>
      </c>
      <c r="J219" s="41" t="str">
        <f>INDEX(Active!B:B, MATCH(Spearmans2!H219, Active!F:F,0),1)</f>
        <v>Natural</v>
      </c>
      <c r="K219" s="41" t="str">
        <f>INDEX(Active!K:K, MATCH(Spearmans2!H219, Active!F:F,0),1)</f>
        <v>PRISM climate data - 30-year normal mean precipitation (mm): Annual period: 1991-2020 within the AOI</v>
      </c>
      <c r="L219" s="42">
        <v>0.80502971568903448</v>
      </c>
    </row>
    <row r="220" spans="1:12" s="51" customFormat="1" x14ac:dyDescent="0.3">
      <c r="A220" s="48" t="s">
        <v>742</v>
      </c>
      <c r="B220" s="48" t="str">
        <f t="shared" si="6"/>
        <v>RUNOFF</v>
      </c>
      <c r="C220" s="48" t="str">
        <f>INDEX(Active!J:J, MATCH(Spearmans2!B220, Active!F:F,0),1)</f>
        <v>Mean Runoff</v>
      </c>
      <c r="D220" s="48" t="str">
        <f>INDEX(Active!B:B, MATCH(Spearmans2!B220, Active!F:F,0),1)</f>
        <v>Natural</v>
      </c>
      <c r="E220" s="48" t="str">
        <f>INDEX(Active!D:D, MATCH(Spearmans2!B220, Active!F:F,0),1)</f>
        <v>Flow</v>
      </c>
      <c r="F220" s="48" t="str">
        <f>INDEX(Active!K:K, MATCH(Spearmans2!B220, Active!F:F,0),1)</f>
        <v>Mean runoff (mm) within AOI</v>
      </c>
      <c r="G220" s="49" t="s">
        <v>746</v>
      </c>
      <c r="H220" s="49" t="str">
        <f t="shared" si="7"/>
        <v>SW_FLUX</v>
      </c>
      <c r="I220" s="49" t="str">
        <f>INDEX(Active!J:J, MATCH(Spearmans2!H220, Active!F:F,0),1)</f>
        <v>Surface Water Nitrogen Flux</v>
      </c>
      <c r="J220" s="49" t="str">
        <f>INDEX(Active!B:B, MATCH(Spearmans2!H220, Active!F:F,0),1)</f>
        <v>Anthropogenic</v>
      </c>
      <c r="K220" s="49" t="str">
        <f>INDEX(Active!K:K, MATCH(Spearmans2!H220, Active!F:F,0),1)</f>
        <v>Estimated surface water TN flux (kg N / km2) within AOI</v>
      </c>
      <c r="L220" s="50">
        <v>0.8145952112176148</v>
      </c>
    </row>
    <row r="221" spans="1:12" s="34" customFormat="1" x14ac:dyDescent="0.3">
      <c r="A221" s="30" t="s">
        <v>743</v>
      </c>
      <c r="B221" s="31" t="str">
        <f t="shared" si="6"/>
        <v>SAND</v>
      </c>
      <c r="C221" s="31" t="str">
        <f>INDEX(Active!J:J, MATCH(Spearmans2!B221, Active!F:F,0),1)</f>
        <v>Mean Sand Content</v>
      </c>
      <c r="D221" s="31" t="str">
        <f>INDEX(Active!B:B, MATCH(Spearmans2!B221, Active!F:F,0),1)</f>
        <v>Natural</v>
      </c>
      <c r="E221" s="31" t="str">
        <f>INDEX(Active!D:D, MATCH(Spearmans2!B221, Active!F:F,0),1)</f>
        <v>Lithology</v>
      </c>
      <c r="F221" s="31" t="str">
        <f>INDEX(Active!K:K, MATCH(Spearmans2!B221, Active!F:F,0),1)</f>
        <v>Mean % sand content of soils (STATSGO) within AOI</v>
      </c>
      <c r="G221" s="32" t="s">
        <v>736</v>
      </c>
      <c r="H221" s="32" t="str">
        <f t="shared" si="7"/>
        <v>PERM</v>
      </c>
      <c r="I221" s="32" t="str">
        <f>INDEX(Active!J:J, MATCH(Spearmans2!H221, Active!F:F,0),1)</f>
        <v>Mean Permeability</v>
      </c>
      <c r="J221" s="32" t="str">
        <f>INDEX(Active!B:B, MATCH(Spearmans2!H221, Active!F:F,0),1)</f>
        <v>Natural</v>
      </c>
      <c r="K221" s="32" t="str">
        <f>INDEX(Active!K:K, MATCH(Spearmans2!H221, Active!F:F,0),1)</f>
        <v>Mean permeability (cm/hour) of soils (STATSGO) within AOI</v>
      </c>
      <c r="L221" s="33">
        <v>0.86571964583634009</v>
      </c>
    </row>
    <row r="222" spans="1:12" s="29" customFormat="1" x14ac:dyDescent="0.3">
      <c r="A222" s="25" t="s">
        <v>744</v>
      </c>
      <c r="B222" s="26" t="str">
        <f t="shared" si="6"/>
        <v>SIO2</v>
      </c>
      <c r="C222" s="26" t="str">
        <f>INDEX(Active!J:J, MATCH(Spearmans2!B222, Active!F:F,0),1)</f>
        <v>Mean Lithological Silicon Dioxide</v>
      </c>
      <c r="D222" s="26" t="str">
        <f>INDEX(Active!B:B, MATCH(Spearmans2!B222, Active!F:F,0),1)</f>
        <v>Natural</v>
      </c>
      <c r="E222" s="26" t="str">
        <f>INDEX(Active!D:D, MATCH(Spearmans2!B222, Active!F:F,0),1)</f>
        <v>Lithology</v>
      </c>
      <c r="F222" s="26" t="str">
        <f>INDEX(Active!K:K, MATCH(Spearmans2!B222, Active!F:F,0),1)</f>
        <v>Mean % of lithological silicon dioxide (SiO2) content in surface or near surface geology within AOI</v>
      </c>
      <c r="G222" s="27" t="s">
        <v>692</v>
      </c>
      <c r="H222" s="27" t="str">
        <f t="shared" si="7"/>
        <v>CAO</v>
      </c>
      <c r="I222" s="27" t="str">
        <f>INDEX(Active!J:J, MATCH(Spearmans2!H222, Active!F:F,0),1)</f>
        <v>Mean Lithological Calcium Oxide</v>
      </c>
      <c r="J222" s="27" t="str">
        <f>INDEX(Active!B:B, MATCH(Spearmans2!H222, Active!F:F,0),1)</f>
        <v>Natural</v>
      </c>
      <c r="K222" s="27" t="str">
        <f>INDEX(Active!K:K, MATCH(Spearmans2!H222, Active!F:F,0),1)</f>
        <v>Mean % of lithological calcium oxide (CaO) content in surface or near surface geology within AOI</v>
      </c>
      <c r="L222" s="28">
        <v>-0.92246804781297942</v>
      </c>
    </row>
    <row r="223" spans="1:12" s="34" customFormat="1" x14ac:dyDescent="0.3">
      <c r="A223" s="30" t="s">
        <v>744</v>
      </c>
      <c r="B223" s="31" t="str">
        <f t="shared" si="6"/>
        <v>SIO2</v>
      </c>
      <c r="C223" s="31" t="str">
        <f>INDEX(Active!J:J, MATCH(Spearmans2!B223, Active!F:F,0),1)</f>
        <v>Mean Lithological Silicon Dioxide</v>
      </c>
      <c r="D223" s="31" t="str">
        <f>INDEX(Active!B:B, MATCH(Spearmans2!B223, Active!F:F,0),1)</f>
        <v>Natural</v>
      </c>
      <c r="E223" s="31" t="str">
        <f>INDEX(Active!D:D, MATCH(Spearmans2!B223, Active!F:F,0),1)</f>
        <v>Lithology</v>
      </c>
      <c r="F223" s="31" t="str">
        <f>INDEX(Active!K:K, MATCH(Spearmans2!B223, Active!F:F,0),1)</f>
        <v>Mean % of lithological silicon dioxide (SiO2) content in surface or near surface geology within AOI</v>
      </c>
      <c r="G223" s="32" t="s">
        <v>700</v>
      </c>
      <c r="H223" s="32" t="str">
        <f t="shared" si="7"/>
        <v>FE2O3</v>
      </c>
      <c r="I223" s="32" t="str">
        <f>INDEX(Active!J:J, MATCH(Spearmans2!H223, Active!F:F,0),1)</f>
        <v>Mean Lithological Ferric Oxide</v>
      </c>
      <c r="J223" s="32" t="str">
        <f>INDEX(Active!B:B, MATCH(Spearmans2!H223, Active!F:F,0),1)</f>
        <v>Natural</v>
      </c>
      <c r="K223" s="32" t="str">
        <f>INDEX(Active!K:K, MATCH(Spearmans2!H223, Active!F:F,0),1)</f>
        <v>Mean % of lithological ferric oxide (Fe2O3) content in surface or near surface geology within AOI</v>
      </c>
      <c r="L223" s="33">
        <v>-0.83079520582346567</v>
      </c>
    </row>
    <row r="224" spans="1:12" s="34" customFormat="1" x14ac:dyDescent="0.3">
      <c r="A224" s="30" t="s">
        <v>744</v>
      </c>
      <c r="B224" s="31" t="str">
        <f t="shared" si="6"/>
        <v>SIO2</v>
      </c>
      <c r="C224" s="31" t="str">
        <f>INDEX(Active!J:J, MATCH(Spearmans2!B224, Active!F:F,0),1)</f>
        <v>Mean Lithological Silicon Dioxide</v>
      </c>
      <c r="D224" s="31" t="str">
        <f>INDEX(Active!B:B, MATCH(Spearmans2!B224, Active!F:F,0),1)</f>
        <v>Natural</v>
      </c>
      <c r="E224" s="31" t="str">
        <f>INDEX(Active!D:D, MATCH(Spearmans2!B224, Active!F:F,0),1)</f>
        <v>Lithology</v>
      </c>
      <c r="F224" s="31" t="str">
        <f>INDEX(Active!K:K, MATCH(Spearmans2!B224, Active!F:F,0),1)</f>
        <v>Mean % of lithological silicon dioxide (SiO2) content in surface or near surface geology within AOI</v>
      </c>
      <c r="G224" s="32" t="s">
        <v>704</v>
      </c>
      <c r="H224" s="32" t="str">
        <f t="shared" si="7"/>
        <v>K2O</v>
      </c>
      <c r="I224" s="32" t="str">
        <f>INDEX(Active!J:J, MATCH(Spearmans2!H224, Active!F:F,0),1)</f>
        <v>InorgNWetDep</v>
      </c>
      <c r="J224" s="32" t="str">
        <f>INDEX(Active!B:B, MATCH(Spearmans2!H224, Active!F:F,0),1)</f>
        <v>Natural</v>
      </c>
      <c r="K224" s="32" t="str">
        <f>INDEX(Active!K:K, MATCH(Spearmans2!H224, Active!F:F,0),1)</f>
        <v>Mean % of lithological potassium oxide (K2O) content in surface or near surface geology within AOI</v>
      </c>
      <c r="L224" s="33">
        <v>0.85407021771953906</v>
      </c>
    </row>
    <row r="225" spans="1:12" s="34" customFormat="1" x14ac:dyDescent="0.3">
      <c r="A225" s="30" t="s">
        <v>744</v>
      </c>
      <c r="B225" s="31" t="str">
        <f t="shared" si="6"/>
        <v>SIO2</v>
      </c>
      <c r="C225" s="31" t="str">
        <f>INDEX(Active!J:J, MATCH(Spearmans2!B225, Active!F:F,0),1)</f>
        <v>Mean Lithological Silicon Dioxide</v>
      </c>
      <c r="D225" s="31" t="str">
        <f>INDEX(Active!B:B, MATCH(Spearmans2!B225, Active!F:F,0),1)</f>
        <v>Natural</v>
      </c>
      <c r="E225" s="31" t="str">
        <f>INDEX(Active!D:D, MATCH(Spearmans2!B225, Active!F:F,0),1)</f>
        <v>Lithology</v>
      </c>
      <c r="F225" s="31" t="str">
        <f>INDEX(Active!K:K, MATCH(Spearmans2!B225, Active!F:F,0),1)</f>
        <v>Mean % of lithological silicon dioxide (SiO2) content in surface or near surface geology within AOI</v>
      </c>
      <c r="G225" s="32" t="s">
        <v>707</v>
      </c>
      <c r="H225" s="32" t="str">
        <f t="shared" si="7"/>
        <v>MGO</v>
      </c>
      <c r="I225" s="32" t="str">
        <f>INDEX(Active!J:J, MATCH(Spearmans2!H225, Active!F:F,0),1)</f>
        <v>Mean Lithological Magnesium Oxide</v>
      </c>
      <c r="J225" s="32" t="str">
        <f>INDEX(Active!B:B, MATCH(Spearmans2!H225, Active!F:F,0),1)</f>
        <v>Natural</v>
      </c>
      <c r="K225" s="32" t="str">
        <f>INDEX(Active!K:K, MATCH(Spearmans2!H225, Active!F:F,0),1)</f>
        <v>Mean % of lithological magnesium oxide (MgO) content in surface or near surface geology within AOI</v>
      </c>
      <c r="L225" s="33">
        <v>-0.92940796404283299</v>
      </c>
    </row>
    <row r="226" spans="1:12" s="39" customFormat="1" x14ac:dyDescent="0.3">
      <c r="A226" s="35" t="s">
        <v>744</v>
      </c>
      <c r="B226" s="36" t="str">
        <f t="shared" si="6"/>
        <v>SIO2</v>
      </c>
      <c r="C226" s="36" t="str">
        <f>INDEX(Active!J:J, MATCH(Spearmans2!B226, Active!F:F,0),1)</f>
        <v>Mean Lithological Silicon Dioxide</v>
      </c>
      <c r="D226" s="36" t="str">
        <f>INDEX(Active!B:B, MATCH(Spearmans2!B226, Active!F:F,0),1)</f>
        <v>Natural</v>
      </c>
      <c r="E226" s="36" t="str">
        <f>INDEX(Active!D:D, MATCH(Spearmans2!B226, Active!F:F,0),1)</f>
        <v>Lithology</v>
      </c>
      <c r="F226" s="36" t="str">
        <f>INDEX(Active!K:K, MATCH(Spearmans2!B226, Active!F:F,0),1)</f>
        <v>Mean % of lithological silicon dioxide (SiO2) content in surface or near surface geology within AOI</v>
      </c>
      <c r="G226" s="37" t="s">
        <v>717</v>
      </c>
      <c r="H226" s="37" t="str">
        <f t="shared" si="7"/>
        <v>P2O5</v>
      </c>
      <c r="I226" s="37" t="str">
        <f>INDEX(Active!J:J, MATCH(Spearmans2!H226, Active!F:F,0),1)</f>
        <v>Mean Lithological Phosphorous Oxide</v>
      </c>
      <c r="J226" s="37" t="str">
        <f>INDEX(Active!B:B, MATCH(Spearmans2!H226, Active!F:F,0),1)</f>
        <v>Natural</v>
      </c>
      <c r="K226" s="37" t="str">
        <f>INDEX(Active!K:K, MATCH(Spearmans2!H226, Active!F:F,0),1)</f>
        <v>Mean % of lithological phosphorous oxide (P2O5) content in surface or near surface geology within AOI</v>
      </c>
      <c r="L226" s="38">
        <v>-0.85460410759142791</v>
      </c>
    </row>
    <row r="227" spans="1:12" s="34" customFormat="1" x14ac:dyDescent="0.3">
      <c r="A227" s="30" t="s">
        <v>745</v>
      </c>
      <c r="B227" s="31" t="str">
        <f t="shared" si="6"/>
        <v>SN2008</v>
      </c>
      <c r="C227" s="31" t="str">
        <f>INDEX(Active!J:J, MATCH(Spearmans2!B227, Active!F:F,0),1)</f>
        <v>Annual Mean Sulfur and Nitrogen Wet Deposition</v>
      </c>
      <c r="D227" s="31" t="str">
        <f>INDEX(Active!B:B, MATCH(Spearmans2!B227, Active!F:F,0),1)</f>
        <v>Natural</v>
      </c>
      <c r="E227" s="31" t="str">
        <f>INDEX(Active!D:D, MATCH(Spearmans2!B227, Active!F:F,0),1)</f>
        <v>Climate</v>
      </c>
      <c r="F227" s="31" t="str">
        <f>INDEX(Active!K:K, MATCH(Spearmans2!B227, Active!F:F,0),1)</f>
        <v>Annual gradient map of precipitation-weighted mean deposition for average sulfur &amp; nitrogen wet deposition for 2008 in kg of S+N/ha/yr, within AOI</v>
      </c>
      <c r="G227" s="32" t="s">
        <v>703</v>
      </c>
      <c r="H227" s="32" t="str">
        <f t="shared" si="7"/>
        <v>INORGNWETDEP2008</v>
      </c>
      <c r="I227" s="32" t="str">
        <f>INDEX(Active!J:J, MATCH(Spearmans2!H227, Active!F:F,0),1)</f>
        <v>Mean Annual Precipitation-Weighted Nitrogen</v>
      </c>
      <c r="J227" s="32" t="str">
        <f>INDEX(Active!B:B, MATCH(Spearmans2!H227, Active!F:F,0),1)</f>
        <v>Natural</v>
      </c>
      <c r="K227" s="32" t="str">
        <f>INDEX(Active!K:K, MATCH(Spearmans2!H227, Active!F:F,0),1)</f>
        <v>Annual gradient map of precipitation-weighted mean deposition for inorganic nitrogen wet deposition from nitrate and ammonium for 2008 in kg of N/ha/yr, within AOI</v>
      </c>
      <c r="L227" s="33">
        <v>0.98501693217090003</v>
      </c>
    </row>
    <row r="228" spans="1:12" s="34" customFormat="1" x14ac:dyDescent="0.3">
      <c r="A228" s="30" t="s">
        <v>745</v>
      </c>
      <c r="B228" s="31" t="str">
        <f t="shared" si="6"/>
        <v>SN2008</v>
      </c>
      <c r="C228" s="31" t="str">
        <f>INDEX(Active!J:J, MATCH(Spearmans2!B228, Active!F:F,0),1)</f>
        <v>Annual Mean Sulfur and Nitrogen Wet Deposition</v>
      </c>
      <c r="D228" s="31" t="str">
        <f>INDEX(Active!B:B, MATCH(Spearmans2!B228, Active!F:F,0),1)</f>
        <v>Natural</v>
      </c>
      <c r="E228" s="31" t="str">
        <f>INDEX(Active!D:D, MATCH(Spearmans2!B228, Active!F:F,0),1)</f>
        <v>Climate</v>
      </c>
      <c r="F228" s="31" t="str">
        <f>INDEX(Active!K:K, MATCH(Spearmans2!B228, Active!F:F,0),1)</f>
        <v>Annual gradient map of precipitation-weighted mean deposition for average sulfur &amp; nitrogen wet deposition for 2008 in kg of S+N/ha/yr, within AOI</v>
      </c>
      <c r="G228" s="32" t="s">
        <v>714</v>
      </c>
      <c r="H228" s="32" t="str">
        <f t="shared" si="7"/>
        <v>NH42008</v>
      </c>
      <c r="I228" s="32" t="str">
        <f>INDEX(Active!J:J, MATCH(Spearmans2!H228, Active!F:F,0),1)</f>
        <v>Mean annual Precipitation-Weighted NH4 Mean</v>
      </c>
      <c r="J228" s="32" t="str">
        <f>INDEX(Active!B:B, MATCH(Spearmans2!H228, Active!F:F,0),1)</f>
        <v>Natural</v>
      </c>
      <c r="K228" s="32" t="str">
        <f>INDEX(Active!K:K, MATCH(Spearmans2!H228, Active!F:F,0),1)</f>
        <v>Annual gradient map of precipitation-weighted mean deposition for ammonium ion concentration wet deposition for 2008 in kg of NH4/ha/yr, within AOI</v>
      </c>
      <c r="L228" s="33">
        <v>0.97377888593990491</v>
      </c>
    </row>
    <row r="229" spans="1:12" s="34" customFormat="1" x14ac:dyDescent="0.3">
      <c r="A229" s="30" t="s">
        <v>745</v>
      </c>
      <c r="B229" s="31" t="str">
        <f t="shared" si="6"/>
        <v>SN2008</v>
      </c>
      <c r="C229" s="31" t="str">
        <f>INDEX(Active!J:J, MATCH(Spearmans2!B229, Active!F:F,0),1)</f>
        <v>Annual Mean Sulfur and Nitrogen Wet Deposition</v>
      </c>
      <c r="D229" s="31" t="str">
        <f>INDEX(Active!B:B, MATCH(Spearmans2!B229, Active!F:F,0),1)</f>
        <v>Natural</v>
      </c>
      <c r="E229" s="31" t="str">
        <f>INDEX(Active!D:D, MATCH(Spearmans2!B229, Active!F:F,0),1)</f>
        <v>Climate</v>
      </c>
      <c r="F229" s="31" t="str">
        <f>INDEX(Active!K:K, MATCH(Spearmans2!B229, Active!F:F,0),1)</f>
        <v>Annual gradient map of precipitation-weighted mean deposition for average sulfur &amp; nitrogen wet deposition for 2008 in kg of S+N/ha/yr, within AOI</v>
      </c>
      <c r="G229" s="32" t="s">
        <v>715</v>
      </c>
      <c r="H229" s="32" t="str">
        <f t="shared" si="7"/>
        <v>NO32008</v>
      </c>
      <c r="I229" s="32" t="str">
        <f>INDEX(Active!J:J, MATCH(Spearmans2!H229, Active!F:F,0),1)</f>
        <v>Mean Annual Precipitation-Weighted NO3 Mean</v>
      </c>
      <c r="J229" s="32" t="str">
        <f>INDEX(Active!B:B, MATCH(Spearmans2!H229, Active!F:F,0),1)</f>
        <v>Natural</v>
      </c>
      <c r="K229" s="32" t="str">
        <f>INDEX(Active!K:K, MATCH(Spearmans2!H229, Active!F:F,0),1)</f>
        <v>Annual gradient map of precipitation-weighted mean deposition for nitrate ion concentration wet deposition for 2008 in kg of NO3/ha/yr, within AOI</v>
      </c>
      <c r="L229" s="33">
        <v>0.97521642818443532</v>
      </c>
    </row>
    <row r="230" spans="1:12" s="34" customFormat="1" x14ac:dyDescent="0.3">
      <c r="A230" s="30" t="s">
        <v>745</v>
      </c>
      <c r="B230" s="31" t="str">
        <f t="shared" si="6"/>
        <v>SN2008</v>
      </c>
      <c r="C230" s="31" t="str">
        <f>INDEX(Active!J:J, MATCH(Spearmans2!B230, Active!F:F,0),1)</f>
        <v>Annual Mean Sulfur and Nitrogen Wet Deposition</v>
      </c>
      <c r="D230" s="31" t="str">
        <f>INDEX(Active!B:B, MATCH(Spearmans2!B230, Active!F:F,0),1)</f>
        <v>Natural</v>
      </c>
      <c r="E230" s="31" t="str">
        <f>INDEX(Active!D:D, MATCH(Spearmans2!B230, Active!F:F,0),1)</f>
        <v>Climate</v>
      </c>
      <c r="F230" s="31" t="str">
        <f>INDEX(Active!K:K, MATCH(Spearmans2!B230, Active!F:F,0),1)</f>
        <v>Annual gradient map of precipitation-weighted mean deposition for average sulfur &amp; nitrogen wet deposition for 2008 in kg of S+N/ha/yr, within AOI</v>
      </c>
      <c r="G230" s="32" t="s">
        <v>738</v>
      </c>
      <c r="H230" s="32" t="str">
        <f t="shared" si="7"/>
        <v>PRECIP_MINUS_EVT</v>
      </c>
      <c r="I230" s="32" t="str">
        <f>INDEX(Active!J:J, MATCH(Spearmans2!H230, Active!F:F,0),1)</f>
        <v>Surplus Precipitation</v>
      </c>
      <c r="J230" s="32" t="str">
        <f>INDEX(Active!B:B, MATCH(Spearmans2!H230, Active!F:F,0),1)</f>
        <v>Natural</v>
      </c>
      <c r="K230" s="32" t="str">
        <f>INDEX(Active!K:K, MATCH(Spearmans2!H230, Active!F:F,0),1)</f>
        <v>This dataset represents surplus precipitation (mm): precipitation minus potential evaporation described in DOI: 10.1016/j.scitotenv.2020.137661 within individual,  local NHDPlusV2 catchments and upstream, contributing watersheds.</v>
      </c>
      <c r="L230" s="33">
        <v>0.89176990528102618</v>
      </c>
    </row>
    <row r="231" spans="1:12" s="34" customFormat="1" x14ac:dyDescent="0.3">
      <c r="A231" s="30" t="s">
        <v>745</v>
      </c>
      <c r="B231" s="31" t="str">
        <f t="shared" si="6"/>
        <v>SN2008</v>
      </c>
      <c r="C231" s="31" t="str">
        <f>INDEX(Active!J:J, MATCH(Spearmans2!B231, Active!F:F,0),1)</f>
        <v>Annual Mean Sulfur and Nitrogen Wet Deposition</v>
      </c>
      <c r="D231" s="31" t="str">
        <f>INDEX(Active!B:B, MATCH(Spearmans2!B231, Active!F:F,0),1)</f>
        <v>Natural</v>
      </c>
      <c r="E231" s="31" t="str">
        <f>INDEX(Active!D:D, MATCH(Spearmans2!B231, Active!F:F,0),1)</f>
        <v>Climate</v>
      </c>
      <c r="F231" s="31" t="str">
        <f>INDEX(Active!K:K, MATCH(Spearmans2!B231, Active!F:F,0),1)</f>
        <v>Annual gradient map of precipitation-weighted mean deposition for average sulfur &amp; nitrogen wet deposition for 2008 in kg of S+N/ha/yr, within AOI</v>
      </c>
      <c r="G231" s="32" t="s">
        <v>739</v>
      </c>
      <c r="H231" s="32" t="str">
        <f t="shared" si="7"/>
        <v>PRECIP2008</v>
      </c>
      <c r="I231" s="32" t="str">
        <f>INDEX(Active!J:J, MATCH(Spearmans2!H231, Active!F:F,0),1)</f>
        <v>Mean Precipitation</v>
      </c>
      <c r="J231" s="32" t="str">
        <f>INDEX(Active!B:B, MATCH(Spearmans2!H231, Active!F:F,0),1)</f>
        <v>Natural</v>
      </c>
      <c r="K231" s="32" t="str">
        <f>INDEX(Active!K:K, MATCH(Spearmans2!H231, Active!F:F,0),1)</f>
        <v>PRISM climate data - 30-year normal mean precipitation (mm): Annual period: 2008 and 2009 within the AOI</v>
      </c>
      <c r="L231" s="33">
        <v>0.86847628409928734</v>
      </c>
    </row>
    <row r="232" spans="1:12" s="34" customFormat="1" x14ac:dyDescent="0.3">
      <c r="A232" s="30" t="s">
        <v>745</v>
      </c>
      <c r="B232" s="31" t="str">
        <f t="shared" si="6"/>
        <v>SN2008</v>
      </c>
      <c r="C232" s="31" t="str">
        <f>INDEX(Active!J:J, MATCH(Spearmans2!B232, Active!F:F,0),1)</f>
        <v>Annual Mean Sulfur and Nitrogen Wet Deposition</v>
      </c>
      <c r="D232" s="31" t="str">
        <f>INDEX(Active!B:B, MATCH(Spearmans2!B232, Active!F:F,0),1)</f>
        <v>Natural</v>
      </c>
      <c r="E232" s="31" t="str">
        <f>INDEX(Active!D:D, MATCH(Spearmans2!B232, Active!F:F,0),1)</f>
        <v>Climate</v>
      </c>
      <c r="F232" s="31" t="str">
        <f>INDEX(Active!K:K, MATCH(Spearmans2!B232, Active!F:F,0),1)</f>
        <v>Annual gradient map of precipitation-weighted mean deposition for average sulfur &amp; nitrogen wet deposition for 2008 in kg of S+N/ha/yr, within AOI</v>
      </c>
      <c r="G232" s="32" t="s">
        <v>740</v>
      </c>
      <c r="H232" s="32" t="str">
        <f t="shared" si="7"/>
        <v>PRECIP8110</v>
      </c>
      <c r="I232" s="32" t="str">
        <f>INDEX(Active!J:J, MATCH(Spearmans2!H232, Active!F:F,0),1)</f>
        <v>30-year Mean Annual Precipitation</v>
      </c>
      <c r="J232" s="32" t="str">
        <f>INDEX(Active!B:B, MATCH(Spearmans2!H232, Active!F:F,0),1)</f>
        <v>Natural</v>
      </c>
      <c r="K232" s="32" t="str">
        <f>INDEX(Active!K:K, MATCH(Spearmans2!H232, Active!F:F,0),1)</f>
        <v>PRISM climate data - 30-year normal mean precipitation (mm): Annual period: 1981-2010 within AOI</v>
      </c>
      <c r="L232" s="33">
        <v>0.88618658146964868</v>
      </c>
    </row>
    <row r="233" spans="1:12" s="34" customFormat="1" x14ac:dyDescent="0.3">
      <c r="A233" s="30" t="s">
        <v>745</v>
      </c>
      <c r="B233" s="31" t="str">
        <f t="shared" si="6"/>
        <v>SN2008</v>
      </c>
      <c r="C233" s="31" t="str">
        <f>INDEX(Active!J:J, MATCH(Spearmans2!B233, Active!F:F,0),1)</f>
        <v>Annual Mean Sulfur and Nitrogen Wet Deposition</v>
      </c>
      <c r="D233" s="31" t="str">
        <f>INDEX(Active!B:B, MATCH(Spearmans2!B233, Active!F:F,0),1)</f>
        <v>Natural</v>
      </c>
      <c r="E233" s="31" t="str">
        <f>INDEX(Active!D:D, MATCH(Spearmans2!B233, Active!F:F,0),1)</f>
        <v>Climate</v>
      </c>
      <c r="F233" s="31" t="str">
        <f>INDEX(Active!K:K, MATCH(Spearmans2!B233, Active!F:F,0),1)</f>
        <v>Annual gradient map of precipitation-weighted mean deposition for average sulfur &amp; nitrogen wet deposition for 2008 in kg of S+N/ha/yr, within AOI</v>
      </c>
      <c r="G233" s="32" t="s">
        <v>741</v>
      </c>
      <c r="H233" s="32" t="str">
        <f t="shared" si="7"/>
        <v>PRECIP9120</v>
      </c>
      <c r="I233" s="32" t="str">
        <f>INDEX(Active!J:J, MATCH(Spearmans2!H233, Active!F:F,0),1)</f>
        <v>30-year Mean Annual Precipitation</v>
      </c>
      <c r="J233" s="32" t="str">
        <f>INDEX(Active!B:B, MATCH(Spearmans2!H233, Active!F:F,0),1)</f>
        <v>Natural</v>
      </c>
      <c r="K233" s="32" t="str">
        <f>INDEX(Active!K:K, MATCH(Spearmans2!H233, Active!F:F,0),1)</f>
        <v>PRISM climate data - 30-year normal mean precipitation (mm): Annual period: 1991-2020 within the AOI</v>
      </c>
      <c r="L233" s="33">
        <v>0.88258790857704605</v>
      </c>
    </row>
    <row r="234" spans="1:12" s="56" customFormat="1" x14ac:dyDescent="0.3">
      <c r="A234" s="52" t="s">
        <v>746</v>
      </c>
      <c r="B234" s="53" t="str">
        <f t="shared" si="6"/>
        <v>SW_FLUX</v>
      </c>
      <c r="C234" s="53" t="str">
        <f>INDEX(Active!J:J, MATCH(Spearmans2!B234, Active!F:F,0),1)</f>
        <v>Surface Water Nitrogen Flux</v>
      </c>
      <c r="D234" s="53" t="str">
        <f>INDEX(Active!B:B, MATCH(Spearmans2!B234, Active!F:F,0),1)</f>
        <v>Anthropogenic</v>
      </c>
      <c r="E234" s="53" t="str">
        <f>INDEX(Active!D:D, MATCH(Spearmans2!B234, Active!F:F,0),1)</f>
        <v>Agriculture</v>
      </c>
      <c r="F234" s="53" t="str">
        <f>INDEX(Active!K:K, MATCH(Spearmans2!B234, Active!F:F,0),1)</f>
        <v>Estimated surface water TN flux (kg N / km2) within AOI</v>
      </c>
      <c r="G234" s="54" t="s">
        <v>742</v>
      </c>
      <c r="H234" s="54" t="str">
        <f t="shared" si="7"/>
        <v>RUNOFF</v>
      </c>
      <c r="I234" s="54" t="str">
        <f>INDEX(Active!J:J, MATCH(Spearmans2!H234, Active!F:F,0),1)</f>
        <v>Mean Runoff</v>
      </c>
      <c r="J234" s="54" t="str">
        <f>INDEX(Active!B:B, MATCH(Spearmans2!H234, Active!F:F,0),1)</f>
        <v>Natural</v>
      </c>
      <c r="K234" s="54" t="str">
        <f>INDEX(Active!K:K, MATCH(Spearmans2!H234, Active!F:F,0),1)</f>
        <v>Mean runoff (mm) within AOI</v>
      </c>
      <c r="L234" s="55">
        <v>0.8145952112176148</v>
      </c>
    </row>
    <row r="235" spans="1:12" s="34" customFormat="1" x14ac:dyDescent="0.3">
      <c r="A235" s="30" t="s">
        <v>747</v>
      </c>
      <c r="B235" s="31" t="str">
        <f t="shared" si="6"/>
        <v>THALWEGDEPTH</v>
      </c>
      <c r="C235" s="31" t="e">
        <f>INDEX(Active!J:J, MATCH(Spearmans2!B235, Active!F:F,0),1)</f>
        <v>#N/A</v>
      </c>
      <c r="D235" s="31" t="e">
        <f>INDEX(Active!B:B, MATCH(Spearmans2!B235, Active!F:F,0),1)</f>
        <v>#N/A</v>
      </c>
      <c r="E235" s="31" t="e">
        <f>INDEX(Active!D:D, MATCH(Spearmans2!B235, Active!F:F,0),1)</f>
        <v>#N/A</v>
      </c>
      <c r="F235" s="31" t="e">
        <f>INDEX(Active!K:K, MATCH(Spearmans2!B235, Active!F:F,0),1)</f>
        <v>#N/A</v>
      </c>
      <c r="G235" s="32" t="s">
        <v>689</v>
      </c>
      <c r="H235" s="32" t="str">
        <f t="shared" si="7"/>
        <v>BANKFULLDEPTH</v>
      </c>
      <c r="I235" s="32" t="str">
        <f>INDEX(Active!J:J, MATCH(Spearmans2!H235, Active!F:F,0),1)</f>
        <v>Predicted Bankfull Depth</v>
      </c>
      <c r="J235" s="32" t="str">
        <f>INDEX(Active!B:B, MATCH(Spearmans2!H235, Active!F:F,0),1)</f>
        <v>Natural</v>
      </c>
      <c r="K235" s="32" t="str">
        <f>INDEX(Active!K:K, MATCH(Spearmans2!H235, Active!F:F,0),1)</f>
        <v>Predicted bankfull depth: thalweg depth plus bankfull height, which is the height from the water surface to the bankfull stage</v>
      </c>
      <c r="L235" s="33">
        <v>0.92650655463150788</v>
      </c>
    </row>
    <row r="236" spans="1:12" s="34" customFormat="1" x14ac:dyDescent="0.3">
      <c r="A236" s="30" t="s">
        <v>747</v>
      </c>
      <c r="B236" s="31" t="str">
        <f t="shared" si="6"/>
        <v>THALWEGDEPTH</v>
      </c>
      <c r="C236" s="31" t="e">
        <f>INDEX(Active!J:J, MATCH(Spearmans2!B236, Active!F:F,0),1)</f>
        <v>#N/A</v>
      </c>
      <c r="D236" s="31" t="e">
        <f>INDEX(Active!B:B, MATCH(Spearmans2!B236, Active!F:F,0),1)</f>
        <v>#N/A</v>
      </c>
      <c r="E236" s="31" t="e">
        <f>INDEX(Active!D:D, MATCH(Spearmans2!B236, Active!F:F,0),1)</f>
        <v>#N/A</v>
      </c>
      <c r="F236" s="31" t="e">
        <f>INDEX(Active!K:K, MATCH(Spearmans2!B236, Active!F:F,0),1)</f>
        <v>#N/A</v>
      </c>
      <c r="G236" s="32" t="s">
        <v>690</v>
      </c>
      <c r="H236" s="32" t="str">
        <f t="shared" si="7"/>
        <v>BANKFULLWIDTH</v>
      </c>
      <c r="I236" s="32" t="str">
        <f>INDEX(Active!J:J, MATCH(Spearmans2!H236, Active!F:F,0),1)</f>
        <v>Predicted Bankfull Width</v>
      </c>
      <c r="J236" s="32" t="str">
        <f>INDEX(Active!B:B, MATCH(Spearmans2!H236, Active!F:F,0),1)</f>
        <v>Natural</v>
      </c>
      <c r="K236" s="32" t="str">
        <f>INDEX(Active!K:K, MATCH(Spearmans2!H236, Active!F:F,0),1)</f>
        <v>Predicted bankfull width: distance from left to right bank at bankfull stage where the potential water height would spill outside of the channel and into the floodplain</v>
      </c>
      <c r="L236" s="33">
        <v>0.95463020240567997</v>
      </c>
    </row>
    <row r="237" spans="1:12" s="34" customFormat="1" x14ac:dyDescent="0.3">
      <c r="A237" s="30" t="s">
        <v>747</v>
      </c>
      <c r="B237" s="31" t="str">
        <f t="shared" si="6"/>
        <v>THALWEGDEPTH</v>
      </c>
      <c r="C237" s="31" t="e">
        <f>INDEX(Active!J:J, MATCH(Spearmans2!B237, Active!F:F,0),1)</f>
        <v>#N/A</v>
      </c>
      <c r="D237" s="31" t="e">
        <f>INDEX(Active!B:B, MATCH(Spearmans2!B237, Active!F:F,0),1)</f>
        <v>#N/A</v>
      </c>
      <c r="E237" s="31" t="e">
        <f>INDEX(Active!D:D, MATCH(Spearmans2!B237, Active!F:F,0),1)</f>
        <v>#N/A</v>
      </c>
      <c r="F237" s="31" t="e">
        <f>INDEX(Active!K:K, MATCH(Spearmans2!B237, Active!F:F,0),1)</f>
        <v>#N/A</v>
      </c>
      <c r="G237" s="32" t="s">
        <v>713</v>
      </c>
      <c r="H237" s="32" t="str">
        <f t="shared" si="7"/>
        <v>NANI</v>
      </c>
      <c r="I237" s="32" t="str">
        <f>INDEX(Active!J:J, MATCH(Spearmans2!H237, Active!F:F,0),1)</f>
        <v>Anthropogenic Nitrogen</v>
      </c>
      <c r="J237" s="32" t="str">
        <f>INDEX(Active!B:B, MATCH(Spearmans2!H237, Active!F:F,0),1)</f>
        <v>Anthropogenic</v>
      </c>
      <c r="K237" s="32" t="str">
        <f>INDEX(Active!K:K, MATCH(Spearmans2!H237, Active!F:F,0),1)</f>
        <v>Net Anthropogenic Nitrogen within AOI: farm fertilizer + urban fertilizer + NOx deposition + CBNF + Human and Livestock food - crop N content - livestock N content</v>
      </c>
      <c r="L237" s="33">
        <v>0.85891134416819626</v>
      </c>
    </row>
    <row r="238" spans="1:12" s="34" customFormat="1" x14ac:dyDescent="0.3">
      <c r="A238" s="30" t="s">
        <v>747</v>
      </c>
      <c r="B238" s="31" t="str">
        <f t="shared" si="6"/>
        <v>THALWEGDEPTH</v>
      </c>
      <c r="C238" s="31" t="e">
        <f>INDEX(Active!J:J, MATCH(Spearmans2!B238, Active!F:F,0),1)</f>
        <v>#N/A</v>
      </c>
      <c r="D238" s="31" t="e">
        <f>INDEX(Active!B:B, MATCH(Spearmans2!B238, Active!F:F,0),1)</f>
        <v>#N/A</v>
      </c>
      <c r="E238" s="31" t="e">
        <f>INDEX(Active!D:D, MATCH(Spearmans2!B238, Active!F:F,0),1)</f>
        <v>#N/A</v>
      </c>
      <c r="F238" s="31" t="e">
        <f>INDEX(Active!K:K, MATCH(Spearmans2!B238, Active!F:F,0),1)</f>
        <v>#N/A</v>
      </c>
      <c r="G238" s="32" t="s">
        <v>716</v>
      </c>
      <c r="H238" s="32" t="str">
        <f t="shared" si="7"/>
        <v>NSURP</v>
      </c>
      <c r="I238" s="32" t="str">
        <f>INDEX(Active!J:J, MATCH(Spearmans2!H238, Active!F:F,0),1)</f>
        <v>Nitrogen Surplus</v>
      </c>
      <c r="J238" s="32" t="str">
        <f>INDEX(Active!B:B, MATCH(Spearmans2!H238, Active!F:F,0),1)</f>
        <v>Anthropogenic</v>
      </c>
      <c r="K238" s="32" t="str">
        <f>INDEX(Active!K:K, MATCH(Spearmans2!H238, Active!F:F,0),1)</f>
        <v>Nitrogen Surplus (kg N / yr) per AOI - excluding biological N Fixation</v>
      </c>
      <c r="L238" s="33">
        <v>0.86790684427662945</v>
      </c>
    </row>
    <row r="239" spans="1:12" s="34" customFormat="1" x14ac:dyDescent="0.3">
      <c r="A239" s="30" t="s">
        <v>747</v>
      </c>
      <c r="B239" s="31" t="str">
        <f t="shared" si="6"/>
        <v>THALWEGDEPTH</v>
      </c>
      <c r="C239" s="31" t="e">
        <f>INDEX(Active!J:J, MATCH(Spearmans2!B239, Active!F:F,0),1)</f>
        <v>#N/A</v>
      </c>
      <c r="D239" s="31" t="e">
        <f>INDEX(Active!B:B, MATCH(Spearmans2!B239, Active!F:F,0),1)</f>
        <v>#N/A</v>
      </c>
      <c r="E239" s="31" t="e">
        <f>INDEX(Active!D:D, MATCH(Spearmans2!B239, Active!F:F,0),1)</f>
        <v>#N/A</v>
      </c>
      <c r="F239" s="31" t="e">
        <f>INDEX(Active!K:K, MATCH(Spearmans2!B239, Active!F:F,0),1)</f>
        <v>#N/A</v>
      </c>
      <c r="G239" s="32" t="s">
        <v>757</v>
      </c>
      <c r="H239" s="32" t="str">
        <f t="shared" si="7"/>
        <v>WETTEDWIDTH</v>
      </c>
      <c r="I239" s="32" t="str">
        <f>INDEX(Active!J:J, MATCH(Spearmans2!H239, Active!F:F,0),1)</f>
        <v>Predicted Wetted Width</v>
      </c>
      <c r="J239" s="32" t="str">
        <f>INDEX(Active!B:B, MATCH(Spearmans2!H239, Active!F:F,0),1)</f>
        <v>Natural</v>
      </c>
      <c r="K239" s="32" t="str">
        <f>INDEX(Active!K:K, MATCH(Spearmans2!H239, Active!F:F,0),1)</f>
        <v>Predicted wetted width: distance of the waters edge from left to right bank</v>
      </c>
      <c r="L239" s="33">
        <v>0.96441416258260582</v>
      </c>
    </row>
    <row r="240" spans="1:12" s="29" customFormat="1" x14ac:dyDescent="0.3">
      <c r="A240" s="25" t="s">
        <v>748</v>
      </c>
      <c r="B240" s="26" t="str">
        <f t="shared" si="6"/>
        <v>TMAX8110</v>
      </c>
      <c r="C240" s="26" t="str">
        <f>INDEX(Active!J:J, MATCH(Spearmans2!B240, Active!F:F,0),1)</f>
        <v>30-year Average Annual Normal Maximum Air Temperature</v>
      </c>
      <c r="D240" s="26" t="str">
        <f>INDEX(Active!B:B, MATCH(Spearmans2!B240, Active!F:F,0),1)</f>
        <v>Natural</v>
      </c>
      <c r="E240" s="26" t="str">
        <f>INDEX(Active!D:D, MATCH(Spearmans2!B240, Active!F:F,0),1)</f>
        <v>Climate</v>
      </c>
      <c r="F240" s="26" t="str">
        <f>INDEX(Active!K:K, MATCH(Spearmans2!B240, Active!F:F,0),1)</f>
        <v>PRISM climate data - 30-year normal maximum temperature (CÂ°): Annual period: 1981-2010 within the AOI</v>
      </c>
      <c r="G240" s="27" t="s">
        <v>706</v>
      </c>
      <c r="H240" s="27" t="str">
        <f t="shared" si="7"/>
        <v>MAST2008</v>
      </c>
      <c r="I240" s="27" t="str">
        <f>INDEX(Active!J:J, MATCH(Spearmans2!H240, Active!F:F,0),1)</f>
        <v>Mean Annual Stream Temp</v>
      </c>
      <c r="J240" s="27" t="str">
        <f>INDEX(Active!B:B, MATCH(Spearmans2!H240, Active!F:F,0),1)</f>
        <v>Natural</v>
      </c>
      <c r="K240" s="27" t="str">
        <f>INDEX(Active!K:K, MATCH(Spearmans2!H240, Active!F:F,0),1)</f>
        <v>Predicted mean annual stream temperature (Jan-Dec) for year 2008, 2009, 2013, 2014</v>
      </c>
      <c r="L240" s="28">
        <v>0.88466424589453785</v>
      </c>
    </row>
    <row r="241" spans="1:12" s="34" customFormat="1" x14ac:dyDescent="0.3">
      <c r="A241" s="30" t="s">
        <v>748</v>
      </c>
      <c r="B241" s="31" t="str">
        <f t="shared" si="6"/>
        <v>TMAX8110</v>
      </c>
      <c r="C241" s="31" t="str">
        <f>INDEX(Active!J:J, MATCH(Spearmans2!B241, Active!F:F,0),1)</f>
        <v>30-year Average Annual Normal Maximum Air Temperature</v>
      </c>
      <c r="D241" s="31" t="str">
        <f>INDEX(Active!B:B, MATCH(Spearmans2!B241, Active!F:F,0),1)</f>
        <v>Natural</v>
      </c>
      <c r="E241" s="31" t="str">
        <f>INDEX(Active!D:D, MATCH(Spearmans2!B241, Active!F:F,0),1)</f>
        <v>Climate</v>
      </c>
      <c r="F241" s="31" t="str">
        <f>INDEX(Active!K:K, MATCH(Spearmans2!B241, Active!F:F,0),1)</f>
        <v>PRISM climate data - 30-year normal maximum temperature (CÂ°): Annual period: 1981-2010 within the AOI</v>
      </c>
      <c r="G241" s="32" t="s">
        <v>749</v>
      </c>
      <c r="H241" s="32" t="str">
        <f t="shared" si="7"/>
        <v>TMAX9120</v>
      </c>
      <c r="I241" s="32" t="str">
        <f>INDEX(Active!J:J, MATCH(Spearmans2!H241, Active!F:F,0),1)</f>
        <v>30-year Average Annual Normal Maximum Air Temperature</v>
      </c>
      <c r="J241" s="32" t="str">
        <f>INDEX(Active!B:B, MATCH(Spearmans2!H241, Active!F:F,0),1)</f>
        <v>Natural</v>
      </c>
      <c r="K241" s="32" t="str">
        <f>INDEX(Active!K:K, MATCH(Spearmans2!H241, Active!F:F,0),1)</f>
        <v>PRISM climate data - 30-year normal maximum temperature (CÂ°): Annual period: 1991-2020 within the AOI</v>
      </c>
      <c r="L241" s="33">
        <v>0.99523062177439181</v>
      </c>
    </row>
    <row r="242" spans="1:12" s="34" customFormat="1" x14ac:dyDescent="0.3">
      <c r="A242" s="30" t="s">
        <v>748</v>
      </c>
      <c r="B242" s="31" t="str">
        <f t="shared" si="6"/>
        <v>TMAX8110</v>
      </c>
      <c r="C242" s="31" t="str">
        <f>INDEX(Active!J:J, MATCH(Spearmans2!B242, Active!F:F,0),1)</f>
        <v>30-year Average Annual Normal Maximum Air Temperature</v>
      </c>
      <c r="D242" s="31" t="str">
        <f>INDEX(Active!B:B, MATCH(Spearmans2!B242, Active!F:F,0),1)</f>
        <v>Natural</v>
      </c>
      <c r="E242" s="31" t="str">
        <f>INDEX(Active!D:D, MATCH(Spearmans2!B242, Active!F:F,0),1)</f>
        <v>Climate</v>
      </c>
      <c r="F242" s="31" t="str">
        <f>INDEX(Active!K:K, MATCH(Spearmans2!B242, Active!F:F,0),1)</f>
        <v>PRISM climate data - 30-year normal maximum temperature (CÂ°): Annual period: 1981-2010 within the AOI</v>
      </c>
      <c r="G242" s="32" t="s">
        <v>750</v>
      </c>
      <c r="H242" s="32" t="str">
        <f t="shared" si="7"/>
        <v>TMEAN2008</v>
      </c>
      <c r="I242" s="32" t="str">
        <f>INDEX(Active!J:J, MATCH(Spearmans2!H242, Active!F:F,0),1)</f>
        <v>Mean Air Temperature</v>
      </c>
      <c r="J242" s="32" t="str">
        <f>INDEX(Active!B:B, MATCH(Spearmans2!H242, Active!F:F,0),1)</f>
        <v>Natural</v>
      </c>
      <c r="K242" s="32" t="str">
        <f>INDEX(Active!K:K, MATCH(Spearmans2!H242, Active!F:F,0),1)</f>
        <v>PRISM climate data - Mean temperature (°C) within the AOI. Period: 2008 and 2009</v>
      </c>
      <c r="L242" s="33">
        <v>0.95972214303268633</v>
      </c>
    </row>
    <row r="243" spans="1:12" s="34" customFormat="1" x14ac:dyDescent="0.3">
      <c r="A243" s="64" t="s">
        <v>748</v>
      </c>
      <c r="B243" s="65" t="str">
        <f t="shared" si="6"/>
        <v>TMAX8110</v>
      </c>
      <c r="C243" s="65" t="str">
        <f>INDEX(Active!J:J, MATCH(Spearmans2!B243, Active!F:F,0),1)</f>
        <v>30-year Average Annual Normal Maximum Air Temperature</v>
      </c>
      <c r="D243" s="65" t="str">
        <f>INDEX(Active!B:B, MATCH(Spearmans2!B243, Active!F:F,0),1)</f>
        <v>Natural</v>
      </c>
      <c r="E243" s="65" t="str">
        <f>INDEX(Active!D:D, MATCH(Spearmans2!B243, Active!F:F,0),1)</f>
        <v>Climate</v>
      </c>
      <c r="F243" s="65" t="str">
        <f>INDEX(Active!K:K, MATCH(Spearmans2!B243, Active!F:F,0),1)</f>
        <v>PRISM climate data - 30-year normal maximum temperature (CÂ°): Annual period: 1981-2010 within the AOI</v>
      </c>
      <c r="G243" s="66" t="s">
        <v>751</v>
      </c>
      <c r="H243" s="66" t="str">
        <f t="shared" si="7"/>
        <v>TMEAN8110</v>
      </c>
      <c r="I243" s="66" t="str">
        <f>INDEX(Active!J:J, MATCH(Spearmans2!H243, Active!F:F,0),1)</f>
        <v>30-year Mean Annual Air Temperature</v>
      </c>
      <c r="J243" s="66" t="str">
        <f>INDEX(Active!B:B, MATCH(Spearmans2!H243, Active!F:F,0),1)</f>
        <v>Natural</v>
      </c>
      <c r="K243" s="66" t="str">
        <f>INDEX(Active!K:K, MATCH(Spearmans2!H243, Active!F:F,0),1)</f>
        <v>PRISM climate data - 30-year normal mean temperature (CÂ°): Annual period: 1981-2010 within the AOI</v>
      </c>
      <c r="L243" s="34">
        <v>0.95585239616613427</v>
      </c>
    </row>
    <row r="244" spans="1:12" s="34" customFormat="1" x14ac:dyDescent="0.3">
      <c r="A244" s="64" t="s">
        <v>748</v>
      </c>
      <c r="B244" s="65" t="str">
        <f t="shared" si="6"/>
        <v>TMAX8110</v>
      </c>
      <c r="C244" s="65" t="str">
        <f>INDEX(Active!J:J, MATCH(Spearmans2!B244, Active!F:F,0),1)</f>
        <v>30-year Average Annual Normal Maximum Air Temperature</v>
      </c>
      <c r="D244" s="65" t="str">
        <f>INDEX(Active!B:B, MATCH(Spearmans2!B244, Active!F:F,0),1)</f>
        <v>Natural</v>
      </c>
      <c r="E244" s="65" t="str">
        <f>INDEX(Active!D:D, MATCH(Spearmans2!B244, Active!F:F,0),1)</f>
        <v>Climate</v>
      </c>
      <c r="F244" s="65" t="str">
        <f>INDEX(Active!K:K, MATCH(Spearmans2!B244, Active!F:F,0),1)</f>
        <v>PRISM climate data - 30-year normal maximum temperature (CÂ°): Annual period: 1981-2010 within the AOI</v>
      </c>
      <c r="G244" s="66" t="s">
        <v>752</v>
      </c>
      <c r="H244" s="66" t="str">
        <f t="shared" si="7"/>
        <v>TMEAN9120</v>
      </c>
      <c r="I244" s="66" t="str">
        <f>INDEX(Active!J:J, MATCH(Spearmans2!H244, Active!F:F,0),1)</f>
        <v>30-year Mean Annual Air Temperature</v>
      </c>
      <c r="J244" s="66" t="str">
        <f>INDEX(Active!B:B, MATCH(Spearmans2!H244, Active!F:F,0),1)</f>
        <v>Natural</v>
      </c>
      <c r="K244" s="66" t="str">
        <f>INDEX(Active!K:K, MATCH(Spearmans2!H244, Active!F:F,0),1)</f>
        <v>PRISM climate data - 30-year normal mean temperature (CÂ°): Annual period: 1991-2020 within the AOI</v>
      </c>
      <c r="L244" s="34">
        <v>0.95584246743671675</v>
      </c>
    </row>
    <row r="245" spans="1:12" s="34" customFormat="1" x14ac:dyDescent="0.3">
      <c r="A245" s="64" t="s">
        <v>748</v>
      </c>
      <c r="B245" s="65" t="str">
        <f t="shared" si="6"/>
        <v>TMAX8110</v>
      </c>
      <c r="C245" s="65" t="str">
        <f>INDEX(Active!J:J, MATCH(Spearmans2!B245, Active!F:F,0),1)</f>
        <v>30-year Average Annual Normal Maximum Air Temperature</v>
      </c>
      <c r="D245" s="65" t="str">
        <f>INDEX(Active!B:B, MATCH(Spearmans2!B245, Active!F:F,0),1)</f>
        <v>Natural</v>
      </c>
      <c r="E245" s="65" t="str">
        <f>INDEX(Active!D:D, MATCH(Spearmans2!B245, Active!F:F,0),1)</f>
        <v>Climate</v>
      </c>
      <c r="F245" s="65" t="str">
        <f>INDEX(Active!K:K, MATCH(Spearmans2!B245, Active!F:F,0),1)</f>
        <v>PRISM climate data - 30-year normal maximum temperature (CÂ°): Annual period: 1981-2010 within the AOI</v>
      </c>
      <c r="G245" s="66" t="s">
        <v>753</v>
      </c>
      <c r="H245" s="66" t="str">
        <f t="shared" si="7"/>
        <v>TMIN8110</v>
      </c>
      <c r="I245" s="66" t="str">
        <f>INDEX(Active!J:J, MATCH(Spearmans2!H245, Active!F:F,0),1)</f>
        <v>30-year Average Annual Normal Minimum Air Temperature</v>
      </c>
      <c r="J245" s="66" t="str">
        <f>INDEX(Active!B:B, MATCH(Spearmans2!H245, Active!F:F,0),1)</f>
        <v>Natural</v>
      </c>
      <c r="K245" s="66" t="str">
        <f>INDEX(Active!K:K, MATCH(Spearmans2!H245, Active!F:F,0),1)</f>
        <v>PRISM climate data - 30-year normal minimum temperature (CÂ°): Annual period: 1981-2010 within the AOI</v>
      </c>
      <c r="L245" s="34">
        <v>0.83826699434750551</v>
      </c>
    </row>
    <row r="246" spans="1:12" s="39" customFormat="1" ht="13.8" customHeight="1" x14ac:dyDescent="0.3">
      <c r="A246" s="67" t="s">
        <v>748</v>
      </c>
      <c r="B246" s="68" t="str">
        <f t="shared" si="6"/>
        <v>TMAX8110</v>
      </c>
      <c r="C246" s="68" t="str">
        <f>INDEX(Active!J:J, MATCH(Spearmans2!B246, Active!F:F,0),1)</f>
        <v>30-year Average Annual Normal Maximum Air Temperature</v>
      </c>
      <c r="D246" s="68" t="str">
        <f>INDEX(Active!B:B, MATCH(Spearmans2!B246, Active!F:F,0),1)</f>
        <v>Natural</v>
      </c>
      <c r="E246" s="68" t="str">
        <f>INDEX(Active!D:D, MATCH(Spearmans2!B246, Active!F:F,0),1)</f>
        <v>Climate</v>
      </c>
      <c r="F246" s="68" t="str">
        <f>INDEX(Active!K:K, MATCH(Spearmans2!B246, Active!F:F,0),1)</f>
        <v>PRISM climate data - 30-year normal maximum temperature (CÂ°): Annual period: 1981-2010 within the AOI</v>
      </c>
      <c r="G246" s="69" t="s">
        <v>754</v>
      </c>
      <c r="H246" s="69" t="str">
        <f t="shared" si="7"/>
        <v>TMIN9120</v>
      </c>
      <c r="I246" s="69" t="str">
        <f>INDEX(Active!J:J, MATCH(Spearmans2!H246, Active!F:F,0),1)</f>
        <v>30-year Average Annual Normal Minimum Air Temperature</v>
      </c>
      <c r="J246" s="69" t="str">
        <f>INDEX(Active!B:B, MATCH(Spearmans2!H246, Active!F:F,0),1)</f>
        <v>Natural</v>
      </c>
      <c r="K246" s="69" t="str">
        <f>INDEX(Active!K:K, MATCH(Spearmans2!H246, Active!F:F,0),1)</f>
        <v>PRISM climate data - 30-year normal minimum temperature (CÂ°): Annual period: 1991-2020 within the AOI</v>
      </c>
      <c r="L246" s="39">
        <v>0.84298166625706561</v>
      </c>
    </row>
    <row r="247" spans="1:12" s="34" customFormat="1" ht="13.8" customHeight="1" x14ac:dyDescent="0.3">
      <c r="A247" s="30" t="s">
        <v>749</v>
      </c>
      <c r="B247" s="31" t="str">
        <f t="shared" si="6"/>
        <v>TMAX9120</v>
      </c>
      <c r="C247" s="31" t="str">
        <f>INDEX(Active!J:J, MATCH(Spearmans2!B247, Active!F:F,0),1)</f>
        <v>30-year Average Annual Normal Maximum Air Temperature</v>
      </c>
      <c r="D247" s="31" t="str">
        <f>INDEX(Active!B:B, MATCH(Spearmans2!B247, Active!F:F,0),1)</f>
        <v>Natural</v>
      </c>
      <c r="E247" s="31" t="str">
        <f>INDEX(Active!D:D, MATCH(Spearmans2!B247, Active!F:F,0),1)</f>
        <v>Climate</v>
      </c>
      <c r="F247" s="31" t="str">
        <f>INDEX(Active!K:K, MATCH(Spearmans2!B247, Active!F:F,0),1)</f>
        <v>PRISM climate data - 30-year normal maximum temperature (CÂ°): Annual period: 1991-2020 within the AOI</v>
      </c>
      <c r="G247" s="32" t="s">
        <v>706</v>
      </c>
      <c r="H247" s="32" t="str">
        <f t="shared" si="7"/>
        <v>MAST2008</v>
      </c>
      <c r="I247" s="32" t="str">
        <f>INDEX(Active!J:J, MATCH(Spearmans2!H247, Active!F:F,0),1)</f>
        <v>Mean Annual Stream Temp</v>
      </c>
      <c r="J247" s="32" t="str">
        <f>INDEX(Active!B:B, MATCH(Spearmans2!H247, Active!F:F,0),1)</f>
        <v>Natural</v>
      </c>
      <c r="K247" s="32" t="str">
        <f>INDEX(Active!K:K, MATCH(Spearmans2!H247, Active!F:F,0),1)</f>
        <v>Predicted mean annual stream temperature (Jan-Dec) for year 2008, 2009, 2013, 2014</v>
      </c>
      <c r="L247" s="33">
        <v>0.88613876000797676</v>
      </c>
    </row>
    <row r="248" spans="1:12" s="34" customFormat="1" x14ac:dyDescent="0.3">
      <c r="A248" s="30" t="s">
        <v>749</v>
      </c>
      <c r="B248" s="31" t="str">
        <f t="shared" si="6"/>
        <v>TMAX9120</v>
      </c>
      <c r="C248" s="31" t="str">
        <f>INDEX(Active!J:J, MATCH(Spearmans2!B248, Active!F:F,0),1)</f>
        <v>30-year Average Annual Normal Maximum Air Temperature</v>
      </c>
      <c r="D248" s="31" t="str">
        <f>INDEX(Active!B:B, MATCH(Spearmans2!B248, Active!F:F,0),1)</f>
        <v>Natural</v>
      </c>
      <c r="E248" s="31" t="str">
        <f>INDEX(Active!D:D, MATCH(Spearmans2!B248, Active!F:F,0),1)</f>
        <v>Climate</v>
      </c>
      <c r="F248" s="31" t="str">
        <f>INDEX(Active!K:K, MATCH(Spearmans2!B248, Active!F:F,0),1)</f>
        <v>PRISM climate data - 30-year normal maximum temperature (CÂ°): Annual period: 1991-2020 within the AOI</v>
      </c>
      <c r="G248" s="32" t="s">
        <v>748</v>
      </c>
      <c r="H248" s="32" t="str">
        <f t="shared" si="7"/>
        <v>TMAX8110</v>
      </c>
      <c r="I248" s="32" t="str">
        <f>INDEX(Active!J:J, MATCH(Spearmans2!H248, Active!F:F,0),1)</f>
        <v>30-year Average Annual Normal Maximum Air Temperature</v>
      </c>
      <c r="J248" s="32" t="str">
        <f>INDEX(Active!B:B, MATCH(Spearmans2!H248, Active!F:F,0),1)</f>
        <v>Natural</v>
      </c>
      <c r="K248" s="32" t="str">
        <f>INDEX(Active!K:K, MATCH(Spearmans2!H248, Active!F:F,0),1)</f>
        <v>PRISM climate data - 30-year normal maximum temperature (CÂ°): Annual period: 1981-2010 within the AOI</v>
      </c>
      <c r="L248" s="33">
        <v>0.99523062177439181</v>
      </c>
    </row>
    <row r="249" spans="1:12" s="34" customFormat="1" x14ac:dyDescent="0.3">
      <c r="A249" s="30" t="s">
        <v>749</v>
      </c>
      <c r="B249" s="31" t="str">
        <f t="shared" si="6"/>
        <v>TMAX9120</v>
      </c>
      <c r="C249" s="31" t="str">
        <f>INDEX(Active!J:J, MATCH(Spearmans2!B249, Active!F:F,0),1)</f>
        <v>30-year Average Annual Normal Maximum Air Temperature</v>
      </c>
      <c r="D249" s="31" t="str">
        <f>INDEX(Active!B:B, MATCH(Spearmans2!B249, Active!F:F,0),1)</f>
        <v>Natural</v>
      </c>
      <c r="E249" s="31" t="str">
        <f>INDEX(Active!D:D, MATCH(Spearmans2!B249, Active!F:F,0),1)</f>
        <v>Climate</v>
      </c>
      <c r="F249" s="31" t="str">
        <f>INDEX(Active!K:K, MATCH(Spearmans2!B249, Active!F:F,0),1)</f>
        <v>PRISM climate data - 30-year normal maximum temperature (CÂ°): Annual period: 1991-2020 within the AOI</v>
      </c>
      <c r="G249" s="32" t="s">
        <v>750</v>
      </c>
      <c r="H249" s="32" t="str">
        <f t="shared" si="7"/>
        <v>TMEAN2008</v>
      </c>
      <c r="I249" s="32" t="str">
        <f>INDEX(Active!J:J, MATCH(Spearmans2!H249, Active!F:F,0),1)</f>
        <v>Mean Air Temperature</v>
      </c>
      <c r="J249" s="32" t="str">
        <f>INDEX(Active!B:B, MATCH(Spearmans2!H249, Active!F:F,0),1)</f>
        <v>Natural</v>
      </c>
      <c r="K249" s="32" t="str">
        <f>INDEX(Active!K:K, MATCH(Spearmans2!H249, Active!F:F,0),1)</f>
        <v>PRISM climate data - Mean temperature (°C) within the AOI. Period: 2008 and 2009</v>
      </c>
      <c r="L249" s="33">
        <v>0.95370469402801672</v>
      </c>
    </row>
    <row r="250" spans="1:12" s="34" customFormat="1" x14ac:dyDescent="0.3">
      <c r="A250" s="30" t="s">
        <v>749</v>
      </c>
      <c r="B250" s="31" t="str">
        <f t="shared" si="6"/>
        <v>TMAX9120</v>
      </c>
      <c r="C250" s="31" t="str">
        <f>INDEX(Active!J:J, MATCH(Spearmans2!B250, Active!F:F,0),1)</f>
        <v>30-year Average Annual Normal Maximum Air Temperature</v>
      </c>
      <c r="D250" s="31" t="str">
        <f>INDEX(Active!B:B, MATCH(Spearmans2!B250, Active!F:F,0),1)</f>
        <v>Natural</v>
      </c>
      <c r="E250" s="31" t="str">
        <f>INDEX(Active!D:D, MATCH(Spearmans2!B250, Active!F:F,0),1)</f>
        <v>Climate</v>
      </c>
      <c r="F250" s="31" t="str">
        <f>INDEX(Active!K:K, MATCH(Spearmans2!B250, Active!F:F,0),1)</f>
        <v>PRISM climate data - 30-year normal maximum temperature (CÂ°): Annual period: 1991-2020 within the AOI</v>
      </c>
      <c r="G250" s="32" t="s">
        <v>751</v>
      </c>
      <c r="H250" s="32" t="str">
        <f t="shared" si="7"/>
        <v>TMEAN8110</v>
      </c>
      <c r="I250" s="32" t="str">
        <f>INDEX(Active!J:J, MATCH(Spearmans2!H250, Active!F:F,0),1)</f>
        <v>30-year Mean Annual Air Temperature</v>
      </c>
      <c r="J250" s="32" t="str">
        <f>INDEX(Active!B:B, MATCH(Spearmans2!H250, Active!F:F,0),1)</f>
        <v>Natural</v>
      </c>
      <c r="K250" s="32" t="str">
        <f>INDEX(Active!K:K, MATCH(Spearmans2!H250, Active!F:F,0),1)</f>
        <v>PRISM climate data - 30-year normal mean temperature (CÂ°): Annual period: 1981-2010 within the AOI</v>
      </c>
      <c r="L250" s="33">
        <v>0.94631757188498411</v>
      </c>
    </row>
    <row r="251" spans="1:12" s="34" customFormat="1" x14ac:dyDescent="0.3">
      <c r="A251" s="30" t="s">
        <v>749</v>
      </c>
      <c r="B251" s="31" t="str">
        <f t="shared" si="6"/>
        <v>TMAX9120</v>
      </c>
      <c r="C251" s="31" t="str">
        <f>INDEX(Active!J:J, MATCH(Spearmans2!B251, Active!F:F,0),1)</f>
        <v>30-year Average Annual Normal Maximum Air Temperature</v>
      </c>
      <c r="D251" s="31" t="str">
        <f>INDEX(Active!B:B, MATCH(Spearmans2!B251, Active!F:F,0),1)</f>
        <v>Natural</v>
      </c>
      <c r="E251" s="31" t="str">
        <f>INDEX(Active!D:D, MATCH(Spearmans2!B251, Active!F:F,0),1)</f>
        <v>Climate</v>
      </c>
      <c r="F251" s="31" t="str">
        <f>INDEX(Active!K:K, MATCH(Spearmans2!B251, Active!F:F,0),1)</f>
        <v>PRISM climate data - 30-year normal maximum temperature (CÂ°): Annual period: 1991-2020 within the AOI</v>
      </c>
      <c r="G251" s="32" t="s">
        <v>752</v>
      </c>
      <c r="H251" s="32" t="str">
        <f t="shared" si="7"/>
        <v>TMEAN9120</v>
      </c>
      <c r="I251" s="32" t="str">
        <f>INDEX(Active!J:J, MATCH(Spearmans2!H251, Active!F:F,0),1)</f>
        <v>30-year Mean Annual Air Temperature</v>
      </c>
      <c r="J251" s="32" t="str">
        <f>INDEX(Active!B:B, MATCH(Spearmans2!H251, Active!F:F,0),1)</f>
        <v>Natural</v>
      </c>
      <c r="K251" s="32" t="str">
        <f>INDEX(Active!K:K, MATCH(Spearmans2!H251, Active!F:F,0),1)</f>
        <v>PRISM climate data - 30-year normal mean temperature (CÂ°): Annual period: 1991-2020 within the AOI</v>
      </c>
      <c r="L251" s="33">
        <v>0.95144816908331298</v>
      </c>
    </row>
    <row r="252" spans="1:12" s="34" customFormat="1" x14ac:dyDescent="0.3">
      <c r="A252" s="30" t="s">
        <v>749</v>
      </c>
      <c r="B252" s="31" t="str">
        <f t="shared" si="6"/>
        <v>TMAX9120</v>
      </c>
      <c r="C252" s="31" t="str">
        <f>INDEX(Active!J:J, MATCH(Spearmans2!B252, Active!F:F,0),1)</f>
        <v>30-year Average Annual Normal Maximum Air Temperature</v>
      </c>
      <c r="D252" s="31" t="str">
        <f>INDEX(Active!B:B, MATCH(Spearmans2!B252, Active!F:F,0),1)</f>
        <v>Natural</v>
      </c>
      <c r="E252" s="31" t="str">
        <f>INDEX(Active!D:D, MATCH(Spearmans2!B252, Active!F:F,0),1)</f>
        <v>Climate</v>
      </c>
      <c r="F252" s="31" t="str">
        <f>INDEX(Active!K:K, MATCH(Spearmans2!B252, Active!F:F,0),1)</f>
        <v>PRISM climate data - 30-year normal maximum temperature (CÂ°): Annual period: 1991-2020 within the AOI</v>
      </c>
      <c r="G252" s="32" t="s">
        <v>753</v>
      </c>
      <c r="H252" s="32" t="str">
        <f t="shared" si="7"/>
        <v>TMIN8110</v>
      </c>
      <c r="I252" s="32" t="str">
        <f>INDEX(Active!J:J, MATCH(Spearmans2!H252, Active!F:F,0),1)</f>
        <v>30-year Average Annual Normal Minimum Air Temperature</v>
      </c>
      <c r="J252" s="32" t="str">
        <f>INDEX(Active!B:B, MATCH(Spearmans2!H252, Active!F:F,0),1)</f>
        <v>Natural</v>
      </c>
      <c r="K252" s="32" t="str">
        <f>INDEX(Active!K:K, MATCH(Spearmans2!H252, Active!F:F,0),1)</f>
        <v>PRISM climate data - 30-year normal minimum temperature (CÂ°): Annual period: 1981-2010 within the AOI</v>
      </c>
      <c r="L252" s="33">
        <v>0.82641066601130508</v>
      </c>
    </row>
    <row r="253" spans="1:12" s="34" customFormat="1" x14ac:dyDescent="0.3">
      <c r="A253" s="30" t="s">
        <v>749</v>
      </c>
      <c r="B253" s="31" t="str">
        <f t="shared" si="6"/>
        <v>TMAX9120</v>
      </c>
      <c r="C253" s="31" t="str">
        <f>INDEX(Active!J:J, MATCH(Spearmans2!B253, Active!F:F,0),1)</f>
        <v>30-year Average Annual Normal Maximum Air Temperature</v>
      </c>
      <c r="D253" s="31" t="str">
        <f>INDEX(Active!B:B, MATCH(Spearmans2!B253, Active!F:F,0),1)</f>
        <v>Natural</v>
      </c>
      <c r="E253" s="31" t="str">
        <f>INDEX(Active!D:D, MATCH(Spearmans2!B253, Active!F:F,0),1)</f>
        <v>Climate</v>
      </c>
      <c r="F253" s="31" t="str">
        <f>INDEX(Active!K:K, MATCH(Spearmans2!B253, Active!F:F,0),1)</f>
        <v>PRISM climate data - 30-year normal maximum temperature (CÂ°): Annual period: 1991-2020 within the AOI</v>
      </c>
      <c r="G253" s="32" t="s">
        <v>754</v>
      </c>
      <c r="H253" s="32" t="str">
        <f t="shared" si="7"/>
        <v>TMIN9120</v>
      </c>
      <c r="I253" s="32" t="str">
        <f>INDEX(Active!J:J, MATCH(Spearmans2!H253, Active!F:F,0),1)</f>
        <v>30-year Average Annual Normal Minimum Air Temperature</v>
      </c>
      <c r="J253" s="32" t="str">
        <f>INDEX(Active!B:B, MATCH(Spearmans2!H253, Active!F:F,0),1)</f>
        <v>Natural</v>
      </c>
      <c r="K253" s="32" t="str">
        <f>INDEX(Active!K:K, MATCH(Spearmans2!H253, Active!F:F,0),1)</f>
        <v>PRISM climate data - 30-year normal minimum temperature (CÂ°): Annual period: 1991-2020 within the AOI</v>
      </c>
      <c r="L253" s="33">
        <v>0.83259311870238395</v>
      </c>
    </row>
    <row r="254" spans="1:12" s="29" customFormat="1" x14ac:dyDescent="0.3">
      <c r="A254" s="25" t="s">
        <v>750</v>
      </c>
      <c r="B254" s="26" t="str">
        <f t="shared" si="6"/>
        <v>TMEAN2008</v>
      </c>
      <c r="C254" s="26" t="str">
        <f>INDEX(Active!J:J, MATCH(Spearmans2!B254, Active!F:F,0),1)</f>
        <v>Mean Air Temperature</v>
      </c>
      <c r="D254" s="26" t="str">
        <f>INDEX(Active!B:B, MATCH(Spearmans2!B254, Active!F:F,0),1)</f>
        <v>Natural</v>
      </c>
      <c r="E254" s="26" t="str">
        <f>INDEX(Active!D:D, MATCH(Spearmans2!B254, Active!F:F,0),1)</f>
        <v>Climate</v>
      </c>
      <c r="F254" s="26" t="str">
        <f>INDEX(Active!K:K, MATCH(Spearmans2!B254, Active!F:F,0),1)</f>
        <v>PRISM climate data - Mean temperature (°C) within the AOI. Period: 2008 and 2009</v>
      </c>
      <c r="G254" s="27" t="s">
        <v>699</v>
      </c>
      <c r="H254" s="27" t="str">
        <f t="shared" si="7"/>
        <v>ELEV</v>
      </c>
      <c r="I254" s="27" t="str">
        <f>INDEX(Active!J:J, MATCH(Spearmans2!H254, Active!F:F,0),1)</f>
        <v>Mean Elevation</v>
      </c>
      <c r="J254" s="27" t="str">
        <f>INDEX(Active!B:B, MATCH(Spearmans2!H254, Active!F:F,0),1)</f>
        <v>Natural</v>
      </c>
      <c r="K254" s="27" t="str">
        <f>INDEX(Active!K:K, MATCH(Spearmans2!H254, Active!F:F,0),1)</f>
        <v>Mean AOI elevation (m)</v>
      </c>
      <c r="L254" s="28">
        <v>-0.82500172032440411</v>
      </c>
    </row>
    <row r="255" spans="1:12" s="34" customFormat="1" x14ac:dyDescent="0.3">
      <c r="A255" s="30" t="s">
        <v>750</v>
      </c>
      <c r="B255" s="31" t="str">
        <f t="shared" si="6"/>
        <v>TMEAN2008</v>
      </c>
      <c r="C255" s="31" t="str">
        <f>INDEX(Active!J:J, MATCH(Spearmans2!B255, Active!F:F,0),1)</f>
        <v>Mean Air Temperature</v>
      </c>
      <c r="D255" s="31" t="str">
        <f>INDEX(Active!B:B, MATCH(Spearmans2!B255, Active!F:F,0),1)</f>
        <v>Natural</v>
      </c>
      <c r="E255" s="31" t="str">
        <f>INDEX(Active!D:D, MATCH(Spearmans2!B255, Active!F:F,0),1)</f>
        <v>Climate</v>
      </c>
      <c r="F255" s="31" t="str">
        <f>INDEX(Active!K:K, MATCH(Spearmans2!B255, Active!F:F,0),1)</f>
        <v>PRISM climate data - Mean temperature (°C) within the AOI. Period: 2008 and 2009</v>
      </c>
      <c r="G255" s="32" t="s">
        <v>706</v>
      </c>
      <c r="H255" s="32" t="str">
        <f t="shared" si="7"/>
        <v>MAST2008</v>
      </c>
      <c r="I255" s="32" t="str">
        <f>INDEX(Active!J:J, MATCH(Spearmans2!H255, Active!F:F,0),1)</f>
        <v>Mean Annual Stream Temp</v>
      </c>
      <c r="J255" s="32" t="str">
        <f>INDEX(Active!B:B, MATCH(Spearmans2!H255, Active!F:F,0),1)</f>
        <v>Natural</v>
      </c>
      <c r="K255" s="32" t="str">
        <f>INDEX(Active!K:K, MATCH(Spearmans2!H255, Active!F:F,0),1)</f>
        <v>Predicted mean annual stream temperature (Jan-Dec) for year 2008, 2009, 2013, 2014</v>
      </c>
      <c r="L255" s="33">
        <v>0.88079203470777512</v>
      </c>
    </row>
    <row r="256" spans="1:12" s="34" customFormat="1" x14ac:dyDescent="0.3">
      <c r="A256" s="30" t="s">
        <v>750</v>
      </c>
      <c r="B256" s="31" t="str">
        <f t="shared" ref="B256:B319" si="8">IF(RIGHT(A256,2)="WS", LEFT(A256,LEN(A256)-2),A256)</f>
        <v>TMEAN2008</v>
      </c>
      <c r="C256" s="31" t="str">
        <f>INDEX(Active!J:J, MATCH(Spearmans2!B256, Active!F:F,0),1)</f>
        <v>Mean Air Temperature</v>
      </c>
      <c r="D256" s="31" t="str">
        <f>INDEX(Active!B:B, MATCH(Spearmans2!B256, Active!F:F,0),1)</f>
        <v>Natural</v>
      </c>
      <c r="E256" s="31" t="str">
        <f>INDEX(Active!D:D, MATCH(Spearmans2!B256, Active!F:F,0),1)</f>
        <v>Climate</v>
      </c>
      <c r="F256" s="31" t="str">
        <f>INDEX(Active!K:K, MATCH(Spearmans2!B256, Active!F:F,0),1)</f>
        <v>PRISM climate data - Mean temperature (°C) within the AOI. Period: 2008 and 2009</v>
      </c>
      <c r="G256" s="32" t="s">
        <v>708</v>
      </c>
      <c r="H256" s="32" t="str">
        <f t="shared" ref="H256:H319" si="9">IF(RIGHT(G256,2)="WS", LEFT(G256,LEN(G256)-2),G256)</f>
        <v>MWST2008</v>
      </c>
      <c r="I256" s="32" t="str">
        <f>INDEX(Active!J:J, MATCH(Spearmans2!H256, Active!F:F,0),1)</f>
        <v>Mean Winter Stream Temp</v>
      </c>
      <c r="J256" s="32" t="str">
        <f>INDEX(Active!B:B, MATCH(Spearmans2!H256, Active!F:F,0),1)</f>
        <v>Natural</v>
      </c>
      <c r="K256" s="32" t="str">
        <f>INDEX(Active!K:K, MATCH(Spearmans2!H256, Active!F:F,0),1)</f>
        <v>Predicted mean winter stream temperature (Jan-Feb) for year 2008, 2009, 2013, 2014</v>
      </c>
      <c r="L256" s="33">
        <v>0.82321378839995096</v>
      </c>
    </row>
    <row r="257" spans="1:12" s="34" customFormat="1" x14ac:dyDescent="0.3">
      <c r="A257" s="30" t="s">
        <v>750</v>
      </c>
      <c r="B257" s="31" t="str">
        <f t="shared" si="8"/>
        <v>TMEAN2008</v>
      </c>
      <c r="C257" s="31" t="str">
        <f>INDEX(Active!J:J, MATCH(Spearmans2!B257, Active!F:F,0),1)</f>
        <v>Mean Air Temperature</v>
      </c>
      <c r="D257" s="31" t="str">
        <f>INDEX(Active!B:B, MATCH(Spearmans2!B257, Active!F:F,0),1)</f>
        <v>Natural</v>
      </c>
      <c r="E257" s="31" t="str">
        <f>INDEX(Active!D:D, MATCH(Spearmans2!B257, Active!F:F,0),1)</f>
        <v>Climate</v>
      </c>
      <c r="F257" s="31" t="str">
        <f>INDEX(Active!K:K, MATCH(Spearmans2!B257, Active!F:F,0),1)</f>
        <v>PRISM climate data - Mean temperature (°C) within the AOI. Period: 2008 and 2009</v>
      </c>
      <c r="G257" s="32" t="s">
        <v>748</v>
      </c>
      <c r="H257" s="32" t="str">
        <f t="shared" si="9"/>
        <v>TMAX8110</v>
      </c>
      <c r="I257" s="32" t="str">
        <f>INDEX(Active!J:J, MATCH(Spearmans2!H257, Active!F:F,0),1)</f>
        <v>30-year Average Annual Normal Maximum Air Temperature</v>
      </c>
      <c r="J257" s="32" t="str">
        <f>INDEX(Active!B:B, MATCH(Spearmans2!H257, Active!F:F,0),1)</f>
        <v>Natural</v>
      </c>
      <c r="K257" s="32" t="str">
        <f>INDEX(Active!K:K, MATCH(Spearmans2!H257, Active!F:F,0),1)</f>
        <v>PRISM climate data - 30-year normal maximum temperature (CÂ°): Annual period: 1981-2010 within the AOI</v>
      </c>
      <c r="L257" s="33">
        <v>0.95972214303268633</v>
      </c>
    </row>
    <row r="258" spans="1:12" s="34" customFormat="1" x14ac:dyDescent="0.3">
      <c r="A258" s="30" t="s">
        <v>750</v>
      </c>
      <c r="B258" s="31" t="str">
        <f t="shared" si="8"/>
        <v>TMEAN2008</v>
      </c>
      <c r="C258" s="31" t="str">
        <f>INDEX(Active!J:J, MATCH(Spearmans2!B258, Active!F:F,0),1)</f>
        <v>Mean Air Temperature</v>
      </c>
      <c r="D258" s="31" t="str">
        <f>INDEX(Active!B:B, MATCH(Spearmans2!B258, Active!F:F,0),1)</f>
        <v>Natural</v>
      </c>
      <c r="E258" s="31" t="str">
        <f>INDEX(Active!D:D, MATCH(Spearmans2!B258, Active!F:F,0),1)</f>
        <v>Climate</v>
      </c>
      <c r="F258" s="31" t="str">
        <f>INDEX(Active!K:K, MATCH(Spearmans2!B258, Active!F:F,0),1)</f>
        <v>PRISM climate data - Mean temperature (°C) within the AOI. Period: 2008 and 2009</v>
      </c>
      <c r="G258" s="32" t="s">
        <v>749</v>
      </c>
      <c r="H258" s="32" t="str">
        <f t="shared" si="9"/>
        <v>TMAX9120</v>
      </c>
      <c r="I258" s="32" t="str">
        <f>INDEX(Active!J:J, MATCH(Spearmans2!H258, Active!F:F,0),1)</f>
        <v>30-year Average Annual Normal Maximum Air Temperature</v>
      </c>
      <c r="J258" s="32" t="str">
        <f>INDEX(Active!B:B, MATCH(Spearmans2!H258, Active!F:F,0),1)</f>
        <v>Natural</v>
      </c>
      <c r="K258" s="32" t="str">
        <f>INDEX(Active!K:K, MATCH(Spearmans2!H258, Active!F:F,0),1)</f>
        <v>PRISM climate data - 30-year normal maximum temperature (CÂ°): Annual period: 1991-2020 within the AOI</v>
      </c>
      <c r="L258" s="33">
        <v>0.95370469402801672</v>
      </c>
    </row>
    <row r="259" spans="1:12" s="34" customFormat="1" x14ac:dyDescent="0.3">
      <c r="A259" s="30" t="s">
        <v>750</v>
      </c>
      <c r="B259" s="31" t="str">
        <f t="shared" si="8"/>
        <v>TMEAN2008</v>
      </c>
      <c r="C259" s="31" t="str">
        <f>INDEX(Active!J:J, MATCH(Spearmans2!B259, Active!F:F,0),1)</f>
        <v>Mean Air Temperature</v>
      </c>
      <c r="D259" s="31" t="str">
        <f>INDEX(Active!B:B, MATCH(Spearmans2!B259, Active!F:F,0),1)</f>
        <v>Natural</v>
      </c>
      <c r="E259" s="31" t="str">
        <f>INDEX(Active!D:D, MATCH(Spearmans2!B259, Active!F:F,0),1)</f>
        <v>Climate</v>
      </c>
      <c r="F259" s="31" t="str">
        <f>INDEX(Active!K:K, MATCH(Spearmans2!B259, Active!F:F,0),1)</f>
        <v>PRISM climate data - Mean temperature (°C) within the AOI. Period: 2008 and 2009</v>
      </c>
      <c r="G259" s="32" t="s">
        <v>751</v>
      </c>
      <c r="H259" s="32" t="str">
        <f t="shared" si="9"/>
        <v>TMEAN8110</v>
      </c>
      <c r="I259" s="32" t="str">
        <f>INDEX(Active!J:J, MATCH(Spearmans2!H259, Active!F:F,0),1)</f>
        <v>30-year Mean Annual Air Temperature</v>
      </c>
      <c r="J259" s="32" t="str">
        <f>INDEX(Active!B:B, MATCH(Spearmans2!H259, Active!F:F,0),1)</f>
        <v>Natural</v>
      </c>
      <c r="K259" s="32" t="str">
        <f>INDEX(Active!K:K, MATCH(Spearmans2!H259, Active!F:F,0),1)</f>
        <v>PRISM climate data - 30-year normal mean temperature (CÂ°): Annual period: 1981-2010 within the AOI</v>
      </c>
      <c r="L259" s="33">
        <v>0.98761995576308681</v>
      </c>
    </row>
    <row r="260" spans="1:12" s="34" customFormat="1" x14ac:dyDescent="0.3">
      <c r="A260" s="30" t="s">
        <v>750</v>
      </c>
      <c r="B260" s="31" t="str">
        <f t="shared" si="8"/>
        <v>TMEAN2008</v>
      </c>
      <c r="C260" s="31" t="str">
        <f>INDEX(Active!J:J, MATCH(Spearmans2!B260, Active!F:F,0),1)</f>
        <v>Mean Air Temperature</v>
      </c>
      <c r="D260" s="31" t="str">
        <f>INDEX(Active!B:B, MATCH(Spearmans2!B260, Active!F:F,0),1)</f>
        <v>Natural</v>
      </c>
      <c r="E260" s="31" t="str">
        <f>INDEX(Active!D:D, MATCH(Spearmans2!B260, Active!F:F,0),1)</f>
        <v>Climate</v>
      </c>
      <c r="F260" s="31" t="str">
        <f>INDEX(Active!K:K, MATCH(Spearmans2!B260, Active!F:F,0),1)</f>
        <v>PRISM climate data - Mean temperature (°C) within the AOI. Period: 2008 and 2009</v>
      </c>
      <c r="G260" s="32" t="s">
        <v>752</v>
      </c>
      <c r="H260" s="32" t="str">
        <f t="shared" si="9"/>
        <v>TMEAN9120</v>
      </c>
      <c r="I260" s="32" t="str">
        <f>INDEX(Active!J:J, MATCH(Spearmans2!H260, Active!F:F,0),1)</f>
        <v>30-year Mean Annual Air Temperature</v>
      </c>
      <c r="J260" s="32" t="str">
        <f>INDEX(Active!B:B, MATCH(Spearmans2!H260, Active!F:F,0),1)</f>
        <v>Natural</v>
      </c>
      <c r="K260" s="32" t="str">
        <f>INDEX(Active!K:K, MATCH(Spearmans2!H260, Active!F:F,0),1)</f>
        <v>PRISM climate data - 30-year normal mean temperature (CÂ°): Annual period: 1991-2020 within the AOI</v>
      </c>
      <c r="L260" s="33">
        <v>0.988454509707545</v>
      </c>
    </row>
    <row r="261" spans="1:12" s="34" customFormat="1" x14ac:dyDescent="0.3">
      <c r="A261" s="30" t="s">
        <v>750</v>
      </c>
      <c r="B261" s="31" t="str">
        <f t="shared" si="8"/>
        <v>TMEAN2008</v>
      </c>
      <c r="C261" s="31" t="str">
        <f>INDEX(Active!J:J, MATCH(Spearmans2!B261, Active!F:F,0),1)</f>
        <v>Mean Air Temperature</v>
      </c>
      <c r="D261" s="31" t="str">
        <f>INDEX(Active!B:B, MATCH(Spearmans2!B261, Active!F:F,0),1)</f>
        <v>Natural</v>
      </c>
      <c r="E261" s="31" t="str">
        <f>INDEX(Active!D:D, MATCH(Spearmans2!B261, Active!F:F,0),1)</f>
        <v>Climate</v>
      </c>
      <c r="F261" s="31" t="str">
        <f>INDEX(Active!K:K, MATCH(Spearmans2!B261, Active!F:F,0),1)</f>
        <v>PRISM climate data - Mean temperature (°C) within the AOI. Period: 2008 and 2009</v>
      </c>
      <c r="G261" s="32" t="s">
        <v>753</v>
      </c>
      <c r="H261" s="32" t="str">
        <f t="shared" si="9"/>
        <v>TMIN8110</v>
      </c>
      <c r="I261" s="32" t="str">
        <f>INDEX(Active!J:J, MATCH(Spearmans2!H261, Active!F:F,0),1)</f>
        <v>30-year Average Annual Normal Minimum Air Temperature</v>
      </c>
      <c r="J261" s="32" t="str">
        <f>INDEX(Active!B:B, MATCH(Spearmans2!H261, Active!F:F,0),1)</f>
        <v>Natural</v>
      </c>
      <c r="K261" s="32" t="str">
        <f>INDEX(Active!K:K, MATCH(Spearmans2!H261, Active!F:F,0),1)</f>
        <v>PRISM climate data - 30-year normal minimum temperature (CÂ°): Annual period: 1981-2010 within the AOI</v>
      </c>
      <c r="L261" s="33">
        <v>0.92837670189235688</v>
      </c>
    </row>
    <row r="262" spans="1:12" s="39" customFormat="1" x14ac:dyDescent="0.3">
      <c r="A262" s="35" t="s">
        <v>750</v>
      </c>
      <c r="B262" s="36" t="str">
        <f t="shared" si="8"/>
        <v>TMEAN2008</v>
      </c>
      <c r="C262" s="36" t="str">
        <f>INDEX(Active!J:J, MATCH(Spearmans2!B262, Active!F:F,0),1)</f>
        <v>Mean Air Temperature</v>
      </c>
      <c r="D262" s="36" t="str">
        <f>INDEX(Active!B:B, MATCH(Spearmans2!B262, Active!F:F,0),1)</f>
        <v>Natural</v>
      </c>
      <c r="E262" s="36" t="str">
        <f>INDEX(Active!D:D, MATCH(Spearmans2!B262, Active!F:F,0),1)</f>
        <v>Climate</v>
      </c>
      <c r="F262" s="36" t="str">
        <f>INDEX(Active!K:K, MATCH(Spearmans2!B262, Active!F:F,0),1)</f>
        <v>PRISM climate data - Mean temperature (°C) within the AOI. Period: 2008 and 2009</v>
      </c>
      <c r="G262" s="37" t="s">
        <v>754</v>
      </c>
      <c r="H262" s="37" t="str">
        <f t="shared" si="9"/>
        <v>TMIN9120</v>
      </c>
      <c r="I262" s="37" t="str">
        <f>INDEX(Active!J:J, MATCH(Spearmans2!H262, Active!F:F,0),1)</f>
        <v>30-year Average Annual Normal Minimum Air Temperature</v>
      </c>
      <c r="J262" s="37" t="str">
        <f>INDEX(Active!B:B, MATCH(Spearmans2!H262, Active!F:F,0),1)</f>
        <v>Natural</v>
      </c>
      <c r="K262" s="37" t="str">
        <f>INDEX(Active!K:K, MATCH(Spearmans2!H262, Active!F:F,0),1)</f>
        <v>PRISM climate data - 30-year normal minimum temperature (CÂ°): Annual period: 1991-2020 within the AOI</v>
      </c>
      <c r="L262" s="38">
        <v>0.93293978864585902</v>
      </c>
    </row>
    <row r="263" spans="1:12" s="34" customFormat="1" x14ac:dyDescent="0.3">
      <c r="A263" s="30" t="s">
        <v>751</v>
      </c>
      <c r="B263" s="31" t="str">
        <f t="shared" si="8"/>
        <v>TMEAN8110</v>
      </c>
      <c r="C263" s="31" t="str">
        <f>INDEX(Active!J:J, MATCH(Spearmans2!B263, Active!F:F,0),1)</f>
        <v>30-year Mean Annual Air Temperature</v>
      </c>
      <c r="D263" s="31" t="str">
        <f>INDEX(Active!B:B, MATCH(Spearmans2!B263, Active!F:F,0),1)</f>
        <v>Natural</v>
      </c>
      <c r="E263" s="31" t="str">
        <f>INDEX(Active!D:D, MATCH(Spearmans2!B263, Active!F:F,0),1)</f>
        <v>Climate</v>
      </c>
      <c r="F263" s="31" t="str">
        <f>INDEX(Active!K:K, MATCH(Spearmans2!B263, Active!F:F,0),1)</f>
        <v>PRISM climate data - 30-year normal mean temperature (CÂ°): Annual period: 1981-2010 within the AOI</v>
      </c>
      <c r="G263" s="32" t="s">
        <v>691</v>
      </c>
      <c r="H263" s="32" t="str">
        <f t="shared" si="9"/>
        <v>BFI</v>
      </c>
      <c r="I263" s="32" t="str">
        <f>INDEX(Active!J:J, MATCH(Spearmans2!H263, Active!F:F,0),1)</f>
        <v>Base Flow Index</v>
      </c>
      <c r="J263" s="32" t="str">
        <f>INDEX(Active!B:B, MATCH(Spearmans2!H263, Active!F:F,0),1)</f>
        <v>Natural</v>
      </c>
      <c r="K263" s="32" t="str">
        <f>INDEX(Active!K:K, MATCH(Spearmans2!H263, Active!F:F,0),1)</f>
        <v>Base flow is the component of streamflow that can be attributed to ground-water discharge into streams. The BFI is the ratio of base flow to total flow, expressed as a percentage, within AOI</v>
      </c>
      <c r="L263" s="33">
        <v>-0.81839563520198821</v>
      </c>
    </row>
    <row r="264" spans="1:12" s="34" customFormat="1" x14ac:dyDescent="0.3">
      <c r="A264" s="30" t="s">
        <v>751</v>
      </c>
      <c r="B264" s="31" t="str">
        <f t="shared" si="8"/>
        <v>TMEAN8110</v>
      </c>
      <c r="C264" s="31" t="str">
        <f>INDEX(Active!J:J, MATCH(Spearmans2!B264, Active!F:F,0),1)</f>
        <v>30-year Mean Annual Air Temperature</v>
      </c>
      <c r="D264" s="31" t="str">
        <f>INDEX(Active!B:B, MATCH(Spearmans2!B264, Active!F:F,0),1)</f>
        <v>Natural</v>
      </c>
      <c r="E264" s="31" t="str">
        <f>INDEX(Active!D:D, MATCH(Spearmans2!B264, Active!F:F,0),1)</f>
        <v>Climate</v>
      </c>
      <c r="F264" s="31" t="str">
        <f>INDEX(Active!K:K, MATCH(Spearmans2!B264, Active!F:F,0),1)</f>
        <v>PRISM climate data - 30-year normal mean temperature (CÂ°): Annual period: 1981-2010 within the AOI</v>
      </c>
      <c r="G264" s="32" t="s">
        <v>699</v>
      </c>
      <c r="H264" s="32" t="str">
        <f t="shared" si="9"/>
        <v>ELEV</v>
      </c>
      <c r="I264" s="32" t="str">
        <f>INDEX(Active!J:J, MATCH(Spearmans2!H264, Active!F:F,0),1)</f>
        <v>Mean Elevation</v>
      </c>
      <c r="J264" s="32" t="str">
        <f>INDEX(Active!B:B, MATCH(Spearmans2!H264, Active!F:F,0),1)</f>
        <v>Natural</v>
      </c>
      <c r="K264" s="32" t="str">
        <f>INDEX(Active!K:K, MATCH(Spearmans2!H264, Active!F:F,0),1)</f>
        <v>Mean AOI elevation (m)</v>
      </c>
      <c r="L264" s="33">
        <v>-0.86483991152617368</v>
      </c>
    </row>
    <row r="265" spans="1:12" s="34" customFormat="1" x14ac:dyDescent="0.3">
      <c r="A265" s="30" t="s">
        <v>751</v>
      </c>
      <c r="B265" s="31" t="str">
        <f t="shared" si="8"/>
        <v>TMEAN8110</v>
      </c>
      <c r="C265" s="31" t="str">
        <f>INDEX(Active!J:J, MATCH(Spearmans2!B265, Active!F:F,0),1)</f>
        <v>30-year Mean Annual Air Temperature</v>
      </c>
      <c r="D265" s="31" t="str">
        <f>INDEX(Active!B:B, MATCH(Spearmans2!B265, Active!F:F,0),1)</f>
        <v>Natural</v>
      </c>
      <c r="E265" s="31" t="str">
        <f>INDEX(Active!D:D, MATCH(Spearmans2!B265, Active!F:F,0),1)</f>
        <v>Climate</v>
      </c>
      <c r="F265" s="31" t="str">
        <f>INDEX(Active!K:K, MATCH(Spearmans2!B265, Active!F:F,0),1)</f>
        <v>PRISM climate data - 30-year normal mean temperature (CÂ°): Annual period: 1981-2010 within the AOI</v>
      </c>
      <c r="G265" s="32" t="s">
        <v>706</v>
      </c>
      <c r="H265" s="32" t="str">
        <f t="shared" si="9"/>
        <v>MAST2008</v>
      </c>
      <c r="I265" s="32" t="str">
        <f>INDEX(Active!J:J, MATCH(Spearmans2!H265, Active!F:F,0),1)</f>
        <v>Mean Annual Stream Temp</v>
      </c>
      <c r="J265" s="32" t="str">
        <f>INDEX(Active!B:B, MATCH(Spearmans2!H265, Active!F:F,0),1)</f>
        <v>Natural</v>
      </c>
      <c r="K265" s="32" t="str">
        <f>INDEX(Active!K:K, MATCH(Spearmans2!H265, Active!F:F,0),1)</f>
        <v>Predicted mean annual stream temperature (Jan-Dec) for year 2008, 2009, 2013, 2014</v>
      </c>
      <c r="L265" s="33">
        <v>0.88422557884951258</v>
      </c>
    </row>
    <row r="266" spans="1:12" s="34" customFormat="1" x14ac:dyDescent="0.3">
      <c r="A266" s="30" t="s">
        <v>751</v>
      </c>
      <c r="B266" s="31" t="str">
        <f t="shared" si="8"/>
        <v>TMEAN8110</v>
      </c>
      <c r="C266" s="31" t="str">
        <f>INDEX(Active!J:J, MATCH(Spearmans2!B266, Active!F:F,0),1)</f>
        <v>30-year Mean Annual Air Temperature</v>
      </c>
      <c r="D266" s="31" t="str">
        <f>INDEX(Active!B:B, MATCH(Spearmans2!B266, Active!F:F,0),1)</f>
        <v>Natural</v>
      </c>
      <c r="E266" s="31" t="str">
        <f>INDEX(Active!D:D, MATCH(Spearmans2!B266, Active!F:F,0),1)</f>
        <v>Climate</v>
      </c>
      <c r="F266" s="31" t="str">
        <f>INDEX(Active!K:K, MATCH(Spearmans2!B266, Active!F:F,0),1)</f>
        <v>PRISM climate data - 30-year normal mean temperature (CÂ°): Annual period: 1981-2010 within the AOI</v>
      </c>
      <c r="G266" s="32" t="s">
        <v>708</v>
      </c>
      <c r="H266" s="32" t="str">
        <f t="shared" si="9"/>
        <v>MWST2008</v>
      </c>
      <c r="I266" s="32" t="str">
        <f>INDEX(Active!J:J, MATCH(Spearmans2!H266, Active!F:F,0),1)</f>
        <v>Mean Winter Stream Temp</v>
      </c>
      <c r="J266" s="32" t="str">
        <f>INDEX(Active!B:B, MATCH(Spearmans2!H266, Active!F:F,0),1)</f>
        <v>Natural</v>
      </c>
      <c r="K266" s="32" t="str">
        <f>INDEX(Active!K:K, MATCH(Spearmans2!H266, Active!F:F,0),1)</f>
        <v>Predicted mean winter stream temperature (Jan-Feb) for year 2008, 2009, 2013, 2014</v>
      </c>
      <c r="L266" s="33">
        <v>0.84718736105318926</v>
      </c>
    </row>
    <row r="267" spans="1:12" s="34" customFormat="1" x14ac:dyDescent="0.3">
      <c r="A267" s="30" t="s">
        <v>751</v>
      </c>
      <c r="B267" s="31" t="str">
        <f t="shared" si="8"/>
        <v>TMEAN8110</v>
      </c>
      <c r="C267" s="31" t="str">
        <f>INDEX(Active!J:J, MATCH(Spearmans2!B267, Active!F:F,0),1)</f>
        <v>30-year Mean Annual Air Temperature</v>
      </c>
      <c r="D267" s="31" t="str">
        <f>INDEX(Active!B:B, MATCH(Spearmans2!B267, Active!F:F,0),1)</f>
        <v>Natural</v>
      </c>
      <c r="E267" s="31" t="str">
        <f>INDEX(Active!D:D, MATCH(Spearmans2!B267, Active!F:F,0),1)</f>
        <v>Climate</v>
      </c>
      <c r="F267" s="31" t="str">
        <f>INDEX(Active!K:K, MATCH(Spearmans2!B267, Active!F:F,0),1)</f>
        <v>PRISM climate data - 30-year normal mean temperature (CÂ°): Annual period: 1981-2010 within the AOI</v>
      </c>
      <c r="G267" s="32" t="s">
        <v>748</v>
      </c>
      <c r="H267" s="32" t="str">
        <f t="shared" si="9"/>
        <v>TMAX8110</v>
      </c>
      <c r="I267" s="32" t="str">
        <f>INDEX(Active!J:J, MATCH(Spearmans2!H267, Active!F:F,0),1)</f>
        <v>30-year Average Annual Normal Maximum Air Temperature</v>
      </c>
      <c r="J267" s="32" t="str">
        <f>INDEX(Active!B:B, MATCH(Spearmans2!H267, Active!F:F,0),1)</f>
        <v>Natural</v>
      </c>
      <c r="K267" s="32" t="str">
        <f>INDEX(Active!K:K, MATCH(Spearmans2!H267, Active!F:F,0),1)</f>
        <v>PRISM climate data - 30-year normal maximum temperature (CÂ°): Annual period: 1981-2010 within the AOI</v>
      </c>
      <c r="L267" s="33">
        <v>0.95585239616613427</v>
      </c>
    </row>
    <row r="268" spans="1:12" s="34" customFormat="1" x14ac:dyDescent="0.3">
      <c r="A268" s="30" t="s">
        <v>751</v>
      </c>
      <c r="B268" s="31" t="str">
        <f t="shared" si="8"/>
        <v>TMEAN8110</v>
      </c>
      <c r="C268" s="31" t="str">
        <f>INDEX(Active!J:J, MATCH(Spearmans2!B268, Active!F:F,0),1)</f>
        <v>30-year Mean Annual Air Temperature</v>
      </c>
      <c r="D268" s="31" t="str">
        <f>INDEX(Active!B:B, MATCH(Spearmans2!B268, Active!F:F,0),1)</f>
        <v>Natural</v>
      </c>
      <c r="E268" s="31" t="str">
        <f>INDEX(Active!D:D, MATCH(Spearmans2!B268, Active!F:F,0),1)</f>
        <v>Climate</v>
      </c>
      <c r="F268" s="31" t="str">
        <f>INDEX(Active!K:K, MATCH(Spearmans2!B268, Active!F:F,0),1)</f>
        <v>PRISM climate data - 30-year normal mean temperature (CÂ°): Annual period: 1981-2010 within the AOI</v>
      </c>
      <c r="G268" s="32" t="s">
        <v>749</v>
      </c>
      <c r="H268" s="32" t="str">
        <f t="shared" si="9"/>
        <v>TMAX9120</v>
      </c>
      <c r="I268" s="32" t="str">
        <f>INDEX(Active!J:J, MATCH(Spearmans2!H268, Active!F:F,0),1)</f>
        <v>30-year Average Annual Normal Maximum Air Temperature</v>
      </c>
      <c r="J268" s="32" t="str">
        <f>INDEX(Active!B:B, MATCH(Spearmans2!H268, Active!F:F,0),1)</f>
        <v>Natural</v>
      </c>
      <c r="K268" s="32" t="str">
        <f>INDEX(Active!K:K, MATCH(Spearmans2!H268, Active!F:F,0),1)</f>
        <v>PRISM climate data - 30-year normal maximum temperature (CÂ°): Annual period: 1991-2020 within the AOI</v>
      </c>
      <c r="L268" s="33">
        <v>0.94631757188498411</v>
      </c>
    </row>
    <row r="269" spans="1:12" s="34" customFormat="1" x14ac:dyDescent="0.3">
      <c r="A269" s="30" t="s">
        <v>751</v>
      </c>
      <c r="B269" s="31" t="str">
        <f t="shared" si="8"/>
        <v>TMEAN8110</v>
      </c>
      <c r="C269" s="31" t="str">
        <f>INDEX(Active!J:J, MATCH(Spearmans2!B269, Active!F:F,0),1)</f>
        <v>30-year Mean Annual Air Temperature</v>
      </c>
      <c r="D269" s="31" t="str">
        <f>INDEX(Active!B:B, MATCH(Spearmans2!B269, Active!F:F,0),1)</f>
        <v>Natural</v>
      </c>
      <c r="E269" s="31" t="str">
        <f>INDEX(Active!D:D, MATCH(Spearmans2!B269, Active!F:F,0),1)</f>
        <v>Climate</v>
      </c>
      <c r="F269" s="31" t="str">
        <f>INDEX(Active!K:K, MATCH(Spearmans2!B269, Active!F:F,0),1)</f>
        <v>PRISM climate data - 30-year normal mean temperature (CÂ°): Annual period: 1981-2010 within the AOI</v>
      </c>
      <c r="G269" s="32" t="s">
        <v>750</v>
      </c>
      <c r="H269" s="32" t="str">
        <f t="shared" si="9"/>
        <v>TMEAN2008</v>
      </c>
      <c r="I269" s="32" t="str">
        <f>INDEX(Active!J:J, MATCH(Spearmans2!H269, Active!F:F,0),1)</f>
        <v>Mean Air Temperature</v>
      </c>
      <c r="J269" s="32" t="str">
        <f>INDEX(Active!B:B, MATCH(Spearmans2!H269, Active!F:F,0),1)</f>
        <v>Natural</v>
      </c>
      <c r="K269" s="32" t="str">
        <f>INDEX(Active!K:K, MATCH(Spearmans2!H269, Active!F:F,0),1)</f>
        <v>PRISM climate data - Mean temperature (°C) within the AOI. Period: 2008 and 2009</v>
      </c>
      <c r="L269" s="33">
        <v>0.98761995576308681</v>
      </c>
    </row>
    <row r="270" spans="1:12" s="34" customFormat="1" x14ac:dyDescent="0.3">
      <c r="A270" s="30" t="s">
        <v>751</v>
      </c>
      <c r="B270" s="31" t="str">
        <f t="shared" si="8"/>
        <v>TMEAN8110</v>
      </c>
      <c r="C270" s="31" t="str">
        <f>INDEX(Active!J:J, MATCH(Spearmans2!B270, Active!F:F,0),1)</f>
        <v>30-year Mean Annual Air Temperature</v>
      </c>
      <c r="D270" s="31" t="str">
        <f>INDEX(Active!B:B, MATCH(Spearmans2!B270, Active!F:F,0),1)</f>
        <v>Natural</v>
      </c>
      <c r="E270" s="31" t="str">
        <f>INDEX(Active!D:D, MATCH(Spearmans2!B270, Active!F:F,0),1)</f>
        <v>Climate</v>
      </c>
      <c r="F270" s="31" t="str">
        <f>INDEX(Active!K:K, MATCH(Spearmans2!B270, Active!F:F,0),1)</f>
        <v>PRISM climate data - 30-year normal mean temperature (CÂ°): Annual period: 1981-2010 within the AOI</v>
      </c>
      <c r="G270" s="32" t="s">
        <v>752</v>
      </c>
      <c r="H270" s="32" t="str">
        <f t="shared" si="9"/>
        <v>TMEAN9120</v>
      </c>
      <c r="I270" s="32" t="str">
        <f>INDEX(Active!J:J, MATCH(Spearmans2!H270, Active!F:F,0),1)</f>
        <v>30-year Mean Annual Air Temperature</v>
      </c>
      <c r="J270" s="32" t="str">
        <f>INDEX(Active!B:B, MATCH(Spearmans2!H270, Active!F:F,0),1)</f>
        <v>Natural</v>
      </c>
      <c r="K270" s="32" t="str">
        <f>INDEX(Active!K:K, MATCH(Spearmans2!H270, Active!F:F,0),1)</f>
        <v>PRISM climate data - 30-year normal mean temperature (CÂ°): Annual period: 1991-2020 within the AOI</v>
      </c>
      <c r="L270" s="33">
        <v>0.99647569427377747</v>
      </c>
    </row>
    <row r="271" spans="1:12" s="34" customFormat="1" x14ac:dyDescent="0.3">
      <c r="A271" s="30" t="s">
        <v>751</v>
      </c>
      <c r="B271" s="31" t="str">
        <f t="shared" si="8"/>
        <v>TMEAN8110</v>
      </c>
      <c r="C271" s="31" t="str">
        <f>INDEX(Active!J:J, MATCH(Spearmans2!B271, Active!F:F,0),1)</f>
        <v>30-year Mean Annual Air Temperature</v>
      </c>
      <c r="D271" s="31" t="str">
        <f>INDEX(Active!B:B, MATCH(Spearmans2!B271, Active!F:F,0),1)</f>
        <v>Natural</v>
      </c>
      <c r="E271" s="31" t="str">
        <f>INDEX(Active!D:D, MATCH(Spearmans2!B271, Active!F:F,0),1)</f>
        <v>Climate</v>
      </c>
      <c r="F271" s="31" t="str">
        <f>INDEX(Active!K:K, MATCH(Spearmans2!B271, Active!F:F,0),1)</f>
        <v>PRISM climate data - 30-year normal mean temperature (CÂ°): Annual period: 1981-2010 within the AOI</v>
      </c>
      <c r="G271" s="32" t="s">
        <v>753</v>
      </c>
      <c r="H271" s="32" t="str">
        <f t="shared" si="9"/>
        <v>TMIN8110</v>
      </c>
      <c r="I271" s="32" t="str">
        <f>INDEX(Active!J:J, MATCH(Spearmans2!H271, Active!F:F,0),1)</f>
        <v>30-year Average Annual Normal Minimum Air Temperature</v>
      </c>
      <c r="J271" s="32" t="str">
        <f>INDEX(Active!B:B, MATCH(Spearmans2!H271, Active!F:F,0),1)</f>
        <v>Natural</v>
      </c>
      <c r="K271" s="32" t="str">
        <f>INDEX(Active!K:K, MATCH(Spearmans2!H271, Active!F:F,0),1)</f>
        <v>PRISM climate data - 30-year normal minimum temperature (CÂ°): Annual period: 1981-2010 within the AOI</v>
      </c>
      <c r="L271" s="33">
        <v>0.95458127304005902</v>
      </c>
    </row>
    <row r="272" spans="1:12" s="34" customFormat="1" x14ac:dyDescent="0.3">
      <c r="A272" s="30" t="s">
        <v>751</v>
      </c>
      <c r="B272" s="31" t="str">
        <f t="shared" si="8"/>
        <v>TMEAN8110</v>
      </c>
      <c r="C272" s="31" t="str">
        <f>INDEX(Active!J:J, MATCH(Spearmans2!B272, Active!F:F,0),1)</f>
        <v>30-year Mean Annual Air Temperature</v>
      </c>
      <c r="D272" s="31" t="str">
        <f>INDEX(Active!B:B, MATCH(Spearmans2!B272, Active!F:F,0),1)</f>
        <v>Natural</v>
      </c>
      <c r="E272" s="31" t="str">
        <f>INDEX(Active!D:D, MATCH(Spearmans2!B272, Active!F:F,0),1)</f>
        <v>Climate</v>
      </c>
      <c r="F272" s="31" t="str">
        <f>INDEX(Active!K:K, MATCH(Spearmans2!B272, Active!F:F,0),1)</f>
        <v>PRISM climate data - 30-year normal mean temperature (CÂ°): Annual period: 1981-2010 within the AOI</v>
      </c>
      <c r="G272" s="32" t="s">
        <v>754</v>
      </c>
      <c r="H272" s="32" t="str">
        <f t="shared" si="9"/>
        <v>TMIN9120</v>
      </c>
      <c r="I272" s="32" t="str">
        <f>INDEX(Active!J:J, MATCH(Spearmans2!H272, Active!F:F,0),1)</f>
        <v>30-year Average Annual Normal Minimum Air Temperature</v>
      </c>
      <c r="J272" s="32" t="str">
        <f>INDEX(Active!B:B, MATCH(Spearmans2!H272, Active!F:F,0),1)</f>
        <v>Natural</v>
      </c>
      <c r="K272" s="32" t="str">
        <f>INDEX(Active!K:K, MATCH(Spearmans2!H272, Active!F:F,0),1)</f>
        <v>PRISM climate data - 30-year normal minimum temperature (CÂ°): Annual period: 1991-2020 within the AOI</v>
      </c>
      <c r="L272" s="33">
        <v>0.95462521504055065</v>
      </c>
    </row>
    <row r="273" spans="1:12" s="29" customFormat="1" x14ac:dyDescent="0.3">
      <c r="A273" s="25" t="s">
        <v>752</v>
      </c>
      <c r="B273" s="26" t="str">
        <f t="shared" si="8"/>
        <v>TMEAN9120</v>
      </c>
      <c r="C273" s="26" t="str">
        <f>INDEX(Active!J:J, MATCH(Spearmans2!B273, Active!F:F,0),1)</f>
        <v>30-year Mean Annual Air Temperature</v>
      </c>
      <c r="D273" s="26" t="str">
        <f>INDEX(Active!B:B, MATCH(Spearmans2!B273, Active!F:F,0),1)</f>
        <v>Natural</v>
      </c>
      <c r="E273" s="26" t="str">
        <f>INDEX(Active!D:D, MATCH(Spearmans2!B273, Active!F:F,0),1)</f>
        <v>Climate</v>
      </c>
      <c r="F273" s="26" t="str">
        <f>INDEX(Active!K:K, MATCH(Spearmans2!B273, Active!F:F,0),1)</f>
        <v>PRISM climate data - 30-year normal mean temperature (CÂ°): Annual period: 1991-2020 within the AOI</v>
      </c>
      <c r="G273" s="27" t="s">
        <v>691</v>
      </c>
      <c r="H273" s="27" t="str">
        <f t="shared" si="9"/>
        <v>BFI</v>
      </c>
      <c r="I273" s="27" t="str">
        <f>INDEX(Active!J:J, MATCH(Spearmans2!H273, Active!F:F,0),1)</f>
        <v>Base Flow Index</v>
      </c>
      <c r="J273" s="27" t="str">
        <f>INDEX(Active!B:B, MATCH(Spearmans2!H273, Active!F:F,0),1)</f>
        <v>Natural</v>
      </c>
      <c r="K273" s="27" t="str">
        <f>INDEX(Active!K:K, MATCH(Spearmans2!H273, Active!F:F,0),1)</f>
        <v>Base flow is the component of streamflow that can be attributed to ground-water discharge into streams. The BFI is the ratio of base flow to total flow, expressed as a percentage, within AOI</v>
      </c>
      <c r="L273" s="28">
        <v>-0.82274738407067993</v>
      </c>
    </row>
    <row r="274" spans="1:12" s="34" customFormat="1" x14ac:dyDescent="0.3">
      <c r="A274" s="30" t="s">
        <v>752</v>
      </c>
      <c r="B274" s="31" t="str">
        <f t="shared" si="8"/>
        <v>TMEAN9120</v>
      </c>
      <c r="C274" s="31" t="str">
        <f>INDEX(Active!J:J, MATCH(Spearmans2!B274, Active!F:F,0),1)</f>
        <v>30-year Mean Annual Air Temperature</v>
      </c>
      <c r="D274" s="31" t="str">
        <f>INDEX(Active!B:B, MATCH(Spearmans2!B274, Active!F:F,0),1)</f>
        <v>Natural</v>
      </c>
      <c r="E274" s="31" t="str">
        <f>INDEX(Active!D:D, MATCH(Spearmans2!B274, Active!F:F,0),1)</f>
        <v>Climate</v>
      </c>
      <c r="F274" s="31" t="str">
        <f>INDEX(Active!K:K, MATCH(Spearmans2!B274, Active!F:F,0),1)</f>
        <v>PRISM climate data - 30-year normal mean temperature (CÂ°): Annual period: 1991-2020 within the AOI</v>
      </c>
      <c r="G274" s="32" t="s">
        <v>699</v>
      </c>
      <c r="H274" s="32" t="str">
        <f t="shared" si="9"/>
        <v>ELEV</v>
      </c>
      <c r="I274" s="32" t="str">
        <f>INDEX(Active!J:J, MATCH(Spearmans2!H274, Active!F:F,0),1)</f>
        <v>Mean Elevation</v>
      </c>
      <c r="J274" s="32" t="str">
        <f>INDEX(Active!B:B, MATCH(Spearmans2!H274, Active!F:F,0),1)</f>
        <v>Natural</v>
      </c>
      <c r="K274" s="32" t="str">
        <f>INDEX(Active!K:K, MATCH(Spearmans2!H274, Active!F:F,0),1)</f>
        <v>Mean AOI elevation (m)</v>
      </c>
      <c r="L274" s="33">
        <v>-0.85346085033177699</v>
      </c>
    </row>
    <row r="275" spans="1:12" s="34" customFormat="1" x14ac:dyDescent="0.3">
      <c r="A275" s="30" t="s">
        <v>752</v>
      </c>
      <c r="B275" s="31" t="str">
        <f t="shared" si="8"/>
        <v>TMEAN9120</v>
      </c>
      <c r="C275" s="31" t="str">
        <f>INDEX(Active!J:J, MATCH(Spearmans2!B275, Active!F:F,0),1)</f>
        <v>30-year Mean Annual Air Temperature</v>
      </c>
      <c r="D275" s="31" t="str">
        <f>INDEX(Active!B:B, MATCH(Spearmans2!B275, Active!F:F,0),1)</f>
        <v>Natural</v>
      </c>
      <c r="E275" s="31" t="str">
        <f>INDEX(Active!D:D, MATCH(Spearmans2!B275, Active!F:F,0),1)</f>
        <v>Climate</v>
      </c>
      <c r="F275" s="31" t="str">
        <f>INDEX(Active!K:K, MATCH(Spearmans2!B275, Active!F:F,0),1)</f>
        <v>PRISM climate data - 30-year normal mean temperature (CÂ°): Annual period: 1991-2020 within the AOI</v>
      </c>
      <c r="G275" s="32" t="s">
        <v>706</v>
      </c>
      <c r="H275" s="32" t="str">
        <f t="shared" si="9"/>
        <v>MAST2008</v>
      </c>
      <c r="I275" s="32" t="str">
        <f>INDEX(Active!J:J, MATCH(Spearmans2!H275, Active!F:F,0),1)</f>
        <v>Mean Annual Stream Temp</v>
      </c>
      <c r="J275" s="32" t="str">
        <f>INDEX(Active!B:B, MATCH(Spearmans2!H275, Active!F:F,0),1)</f>
        <v>Natural</v>
      </c>
      <c r="K275" s="32" t="str">
        <f>INDEX(Active!K:K, MATCH(Spearmans2!H275, Active!F:F,0),1)</f>
        <v>Predicted mean annual stream temperature (Jan-Dec) for year 2008, 2009, 2013, 2014</v>
      </c>
      <c r="L275" s="33">
        <v>0.88793192677917399</v>
      </c>
    </row>
    <row r="276" spans="1:12" s="34" customFormat="1" x14ac:dyDescent="0.3">
      <c r="A276" s="30" t="s">
        <v>752</v>
      </c>
      <c r="B276" s="31" t="str">
        <f t="shared" si="8"/>
        <v>TMEAN9120</v>
      </c>
      <c r="C276" s="31" t="str">
        <f>INDEX(Active!J:J, MATCH(Spearmans2!B276, Active!F:F,0),1)</f>
        <v>30-year Mean Annual Air Temperature</v>
      </c>
      <c r="D276" s="31" t="str">
        <f>INDEX(Active!B:B, MATCH(Spearmans2!B276, Active!F:F,0),1)</f>
        <v>Natural</v>
      </c>
      <c r="E276" s="31" t="str">
        <f>INDEX(Active!D:D, MATCH(Spearmans2!B276, Active!F:F,0),1)</f>
        <v>Climate</v>
      </c>
      <c r="F276" s="31" t="str">
        <f>INDEX(Active!K:K, MATCH(Spearmans2!B276, Active!F:F,0),1)</f>
        <v>PRISM climate data - 30-year normal mean temperature (CÂ°): Annual period: 1991-2020 within the AOI</v>
      </c>
      <c r="G276" s="32" t="s">
        <v>708</v>
      </c>
      <c r="H276" s="32" t="str">
        <f t="shared" si="9"/>
        <v>MWST2008</v>
      </c>
      <c r="I276" s="32" t="str">
        <f>INDEX(Active!J:J, MATCH(Spearmans2!H276, Active!F:F,0),1)</f>
        <v>Mean Winter Stream Temp</v>
      </c>
      <c r="J276" s="32" t="str">
        <f>INDEX(Active!B:B, MATCH(Spearmans2!H276, Active!F:F,0),1)</f>
        <v>Natural</v>
      </c>
      <c r="K276" s="32" t="str">
        <f>INDEX(Active!K:K, MATCH(Spearmans2!H276, Active!F:F,0),1)</f>
        <v>Predicted mean winter stream temperature (Jan-Feb) for year 2008, 2009, 2013, 2014</v>
      </c>
      <c r="L276" s="33">
        <v>0.8370991751974679</v>
      </c>
    </row>
    <row r="277" spans="1:12" s="34" customFormat="1" x14ac:dyDescent="0.3">
      <c r="A277" s="30" t="s">
        <v>752</v>
      </c>
      <c r="B277" s="31" t="str">
        <f t="shared" si="8"/>
        <v>TMEAN9120</v>
      </c>
      <c r="C277" s="31" t="str">
        <f>INDEX(Active!J:J, MATCH(Spearmans2!B277, Active!F:F,0),1)</f>
        <v>30-year Mean Annual Air Temperature</v>
      </c>
      <c r="D277" s="31" t="str">
        <f>INDEX(Active!B:B, MATCH(Spearmans2!B277, Active!F:F,0),1)</f>
        <v>Natural</v>
      </c>
      <c r="E277" s="31" t="str">
        <f>INDEX(Active!D:D, MATCH(Spearmans2!B277, Active!F:F,0),1)</f>
        <v>Climate</v>
      </c>
      <c r="F277" s="31" t="str">
        <f>INDEX(Active!K:K, MATCH(Spearmans2!B277, Active!F:F,0),1)</f>
        <v>PRISM climate data - 30-year normal mean temperature (CÂ°): Annual period: 1991-2020 within the AOI</v>
      </c>
      <c r="G277" s="32" t="s">
        <v>748</v>
      </c>
      <c r="H277" s="32" t="str">
        <f t="shared" si="9"/>
        <v>TMAX8110</v>
      </c>
      <c r="I277" s="32" t="str">
        <f>INDEX(Active!J:J, MATCH(Spearmans2!H277, Active!F:F,0),1)</f>
        <v>30-year Average Annual Normal Maximum Air Temperature</v>
      </c>
      <c r="J277" s="32" t="str">
        <f>INDEX(Active!B:B, MATCH(Spearmans2!H277, Active!F:F,0),1)</f>
        <v>Natural</v>
      </c>
      <c r="K277" s="32" t="str">
        <f>INDEX(Active!K:K, MATCH(Spearmans2!H277, Active!F:F,0),1)</f>
        <v>PRISM climate data - 30-year normal maximum temperature (CÂ°): Annual period: 1981-2010 within the AOI</v>
      </c>
      <c r="L277" s="33">
        <v>0.95584246743671675</v>
      </c>
    </row>
    <row r="278" spans="1:12" s="34" customFormat="1" x14ac:dyDescent="0.3">
      <c r="A278" s="30" t="s">
        <v>752</v>
      </c>
      <c r="B278" s="31" t="str">
        <f t="shared" si="8"/>
        <v>TMEAN9120</v>
      </c>
      <c r="C278" s="31" t="str">
        <f>INDEX(Active!J:J, MATCH(Spearmans2!B278, Active!F:F,0),1)</f>
        <v>30-year Mean Annual Air Temperature</v>
      </c>
      <c r="D278" s="31" t="str">
        <f>INDEX(Active!B:B, MATCH(Spearmans2!B278, Active!F:F,0),1)</f>
        <v>Natural</v>
      </c>
      <c r="E278" s="31" t="str">
        <f>INDEX(Active!D:D, MATCH(Spearmans2!B278, Active!F:F,0),1)</f>
        <v>Climate</v>
      </c>
      <c r="F278" s="31" t="str">
        <f>INDEX(Active!K:K, MATCH(Spearmans2!B278, Active!F:F,0),1)</f>
        <v>PRISM climate data - 30-year normal mean temperature (CÂ°): Annual period: 1991-2020 within the AOI</v>
      </c>
      <c r="G278" s="32" t="s">
        <v>749</v>
      </c>
      <c r="H278" s="32" t="str">
        <f t="shared" si="9"/>
        <v>TMAX9120</v>
      </c>
      <c r="I278" s="32" t="str">
        <f>INDEX(Active!J:J, MATCH(Spearmans2!H278, Active!F:F,0),1)</f>
        <v>30-year Average Annual Normal Maximum Air Temperature</v>
      </c>
      <c r="J278" s="32" t="str">
        <f>INDEX(Active!B:B, MATCH(Spearmans2!H278, Active!F:F,0),1)</f>
        <v>Natural</v>
      </c>
      <c r="K278" s="32" t="str">
        <f>INDEX(Active!K:K, MATCH(Spearmans2!H278, Active!F:F,0),1)</f>
        <v>PRISM climate data - 30-year normal maximum temperature (CÂ°): Annual period: 1991-2020 within the AOI</v>
      </c>
      <c r="L278" s="33">
        <v>0.95144816908331298</v>
      </c>
    </row>
    <row r="279" spans="1:12" s="34" customFormat="1" x14ac:dyDescent="0.3">
      <c r="A279" s="30" t="s">
        <v>752</v>
      </c>
      <c r="B279" s="31" t="str">
        <f t="shared" si="8"/>
        <v>TMEAN9120</v>
      </c>
      <c r="C279" s="31" t="str">
        <f>INDEX(Active!J:J, MATCH(Spearmans2!B279, Active!F:F,0),1)</f>
        <v>30-year Mean Annual Air Temperature</v>
      </c>
      <c r="D279" s="31" t="str">
        <f>INDEX(Active!B:B, MATCH(Spearmans2!B279, Active!F:F,0),1)</f>
        <v>Natural</v>
      </c>
      <c r="E279" s="31" t="str">
        <f>INDEX(Active!D:D, MATCH(Spearmans2!B279, Active!F:F,0),1)</f>
        <v>Climate</v>
      </c>
      <c r="F279" s="31" t="str">
        <f>INDEX(Active!K:K, MATCH(Spearmans2!B279, Active!F:F,0),1)</f>
        <v>PRISM climate data - 30-year normal mean temperature (CÂ°): Annual period: 1991-2020 within the AOI</v>
      </c>
      <c r="G279" s="32" t="s">
        <v>750</v>
      </c>
      <c r="H279" s="32" t="str">
        <f t="shared" si="9"/>
        <v>TMEAN2008</v>
      </c>
      <c r="I279" s="32" t="str">
        <f>INDEX(Active!J:J, MATCH(Spearmans2!H279, Active!F:F,0),1)</f>
        <v>Mean Air Temperature</v>
      </c>
      <c r="J279" s="32" t="str">
        <f>INDEX(Active!B:B, MATCH(Spearmans2!H279, Active!F:F,0),1)</f>
        <v>Natural</v>
      </c>
      <c r="K279" s="32" t="str">
        <f>INDEX(Active!K:K, MATCH(Spearmans2!H279, Active!F:F,0),1)</f>
        <v>PRISM climate data - Mean temperature (°C) within the AOI. Period: 2008 and 2009</v>
      </c>
      <c r="L279" s="33">
        <v>0.988454509707545</v>
      </c>
    </row>
    <row r="280" spans="1:12" s="34" customFormat="1" x14ac:dyDescent="0.3">
      <c r="A280" s="30" t="s">
        <v>752</v>
      </c>
      <c r="B280" s="31" t="str">
        <f t="shared" si="8"/>
        <v>TMEAN9120</v>
      </c>
      <c r="C280" s="31" t="str">
        <f>INDEX(Active!J:J, MATCH(Spearmans2!B280, Active!F:F,0),1)</f>
        <v>30-year Mean Annual Air Temperature</v>
      </c>
      <c r="D280" s="31" t="str">
        <f>INDEX(Active!B:B, MATCH(Spearmans2!B280, Active!F:F,0),1)</f>
        <v>Natural</v>
      </c>
      <c r="E280" s="31" t="str">
        <f>INDEX(Active!D:D, MATCH(Spearmans2!B280, Active!F:F,0),1)</f>
        <v>Climate</v>
      </c>
      <c r="F280" s="31" t="str">
        <f>INDEX(Active!K:K, MATCH(Spearmans2!B280, Active!F:F,0),1)</f>
        <v>PRISM climate data - 30-year normal mean temperature (CÂ°): Annual period: 1991-2020 within the AOI</v>
      </c>
      <c r="G280" s="32" t="s">
        <v>751</v>
      </c>
      <c r="H280" s="32" t="str">
        <f t="shared" si="9"/>
        <v>TMEAN8110</v>
      </c>
      <c r="I280" s="32" t="str">
        <f>INDEX(Active!J:J, MATCH(Spearmans2!H280, Active!F:F,0),1)</f>
        <v>30-year Mean Annual Air Temperature</v>
      </c>
      <c r="J280" s="32" t="str">
        <f>INDEX(Active!B:B, MATCH(Spearmans2!H280, Active!F:F,0),1)</f>
        <v>Natural</v>
      </c>
      <c r="K280" s="32" t="str">
        <f>INDEX(Active!K:K, MATCH(Spearmans2!H280, Active!F:F,0),1)</f>
        <v>PRISM climate data - 30-year normal mean temperature (CÂ°): Annual period: 1981-2010 within the AOI</v>
      </c>
      <c r="L280" s="33">
        <v>0.99647569427377747</v>
      </c>
    </row>
    <row r="281" spans="1:12" s="34" customFormat="1" x14ac:dyDescent="0.3">
      <c r="A281" s="30" t="s">
        <v>752</v>
      </c>
      <c r="B281" s="31" t="str">
        <f t="shared" si="8"/>
        <v>TMEAN9120</v>
      </c>
      <c r="C281" s="31" t="str">
        <f>INDEX(Active!J:J, MATCH(Spearmans2!B281, Active!F:F,0),1)</f>
        <v>30-year Mean Annual Air Temperature</v>
      </c>
      <c r="D281" s="31" t="str">
        <f>INDEX(Active!B:B, MATCH(Spearmans2!B281, Active!F:F,0),1)</f>
        <v>Natural</v>
      </c>
      <c r="E281" s="31" t="str">
        <f>INDEX(Active!D:D, MATCH(Spearmans2!B281, Active!F:F,0),1)</f>
        <v>Climate</v>
      </c>
      <c r="F281" s="31" t="str">
        <f>INDEX(Active!K:K, MATCH(Spearmans2!B281, Active!F:F,0),1)</f>
        <v>PRISM climate data - 30-year normal mean temperature (CÂ°): Annual period: 1991-2020 within the AOI</v>
      </c>
      <c r="G281" s="32" t="s">
        <v>753</v>
      </c>
      <c r="H281" s="32" t="str">
        <f t="shared" si="9"/>
        <v>TMIN8110</v>
      </c>
      <c r="I281" s="32" t="str">
        <f>INDEX(Active!J:J, MATCH(Spearmans2!H281, Active!F:F,0),1)</f>
        <v>30-year Average Annual Normal Minimum Air Temperature</v>
      </c>
      <c r="J281" s="32" t="str">
        <f>INDEX(Active!B:B, MATCH(Spearmans2!H281, Active!F:F,0),1)</f>
        <v>Natural</v>
      </c>
      <c r="K281" s="32" t="str">
        <f>INDEX(Active!K:K, MATCH(Spearmans2!H281, Active!F:F,0),1)</f>
        <v>PRISM climate data - 30-year normal minimum temperature (CÂ°): Annual period: 1981-2010 within the AOI</v>
      </c>
      <c r="L281" s="33">
        <v>0.94859847628409932</v>
      </c>
    </row>
    <row r="282" spans="1:12" s="39" customFormat="1" x14ac:dyDescent="0.3">
      <c r="A282" s="35" t="s">
        <v>752</v>
      </c>
      <c r="B282" s="36" t="str">
        <f t="shared" si="8"/>
        <v>TMEAN9120</v>
      </c>
      <c r="C282" s="36" t="str">
        <f>INDEX(Active!J:J, MATCH(Spearmans2!B282, Active!F:F,0),1)</f>
        <v>30-year Mean Annual Air Temperature</v>
      </c>
      <c r="D282" s="36" t="str">
        <f>INDEX(Active!B:B, MATCH(Spearmans2!B282, Active!F:F,0),1)</f>
        <v>Natural</v>
      </c>
      <c r="E282" s="36" t="str">
        <f>INDEX(Active!D:D, MATCH(Spearmans2!B282, Active!F:F,0),1)</f>
        <v>Climate</v>
      </c>
      <c r="F282" s="36" t="str">
        <f>INDEX(Active!K:K, MATCH(Spearmans2!B282, Active!F:F,0),1)</f>
        <v>PRISM climate data - 30-year normal mean temperature (CÂ°): Annual period: 1991-2020 within the AOI</v>
      </c>
      <c r="G282" s="37" t="s">
        <v>754</v>
      </c>
      <c r="H282" s="37" t="str">
        <f t="shared" si="9"/>
        <v>TMIN9120</v>
      </c>
      <c r="I282" s="37" t="str">
        <f>INDEX(Active!J:J, MATCH(Spearmans2!H282, Active!F:F,0),1)</f>
        <v>30-year Average Annual Normal Minimum Air Temperature</v>
      </c>
      <c r="J282" s="37" t="str">
        <f>INDEX(Active!B:B, MATCH(Spearmans2!H282, Active!F:F,0),1)</f>
        <v>Natural</v>
      </c>
      <c r="K282" s="37" t="str">
        <f>INDEX(Active!K:K, MATCH(Spearmans2!H282, Active!F:F,0),1)</f>
        <v>PRISM climate data - 30-year normal minimum temperature (CÂ°): Annual period: 1991-2020 within the AOI</v>
      </c>
      <c r="L282" s="38">
        <v>0.95593138363234209</v>
      </c>
    </row>
    <row r="283" spans="1:12" s="34" customFormat="1" x14ac:dyDescent="0.3">
      <c r="A283" s="30" t="s">
        <v>753</v>
      </c>
      <c r="B283" s="31" t="str">
        <f t="shared" si="8"/>
        <v>TMIN8110</v>
      </c>
      <c r="C283" s="31" t="str">
        <f>INDEX(Active!J:J, MATCH(Spearmans2!B283, Active!F:F,0),1)</f>
        <v>30-year Average Annual Normal Minimum Air Temperature</v>
      </c>
      <c r="D283" s="31" t="str">
        <f>INDEX(Active!B:B, MATCH(Spearmans2!B283, Active!F:F,0),1)</f>
        <v>Natural</v>
      </c>
      <c r="E283" s="31" t="str">
        <f>INDEX(Active!D:D, MATCH(Spearmans2!B283, Active!F:F,0),1)</f>
        <v>Climate</v>
      </c>
      <c r="F283" s="31" t="str">
        <f>INDEX(Active!K:K, MATCH(Spearmans2!B283, Active!F:F,0),1)</f>
        <v>PRISM climate data - 30-year normal minimum temperature (CÂ°): Annual period: 1981-2010 within the AOI</v>
      </c>
      <c r="G283" s="32" t="s">
        <v>691</v>
      </c>
      <c r="H283" s="32" t="str">
        <f t="shared" si="9"/>
        <v>BFI</v>
      </c>
      <c r="I283" s="32" t="str">
        <f>INDEX(Active!J:J, MATCH(Spearmans2!H283, Active!F:F,0),1)</f>
        <v>Base Flow Index</v>
      </c>
      <c r="J283" s="32" t="str">
        <f>INDEX(Active!B:B, MATCH(Spearmans2!H283, Active!F:F,0),1)</f>
        <v>Natural</v>
      </c>
      <c r="K283" s="32" t="str">
        <f>INDEX(Active!K:K, MATCH(Spearmans2!H283, Active!F:F,0),1)</f>
        <v>Base flow is the component of streamflow that can be attributed to ground-water discharge into streams. The BFI is the ratio of base flow to total flow, expressed as a percentage, within AOI</v>
      </c>
      <c r="L283" s="33">
        <v>-0.83434551046336858</v>
      </c>
    </row>
    <row r="284" spans="1:12" s="34" customFormat="1" x14ac:dyDescent="0.3">
      <c r="A284" s="30" t="s">
        <v>753</v>
      </c>
      <c r="B284" s="31" t="str">
        <f t="shared" si="8"/>
        <v>TMIN8110</v>
      </c>
      <c r="C284" s="31" t="str">
        <f>INDEX(Active!J:J, MATCH(Spearmans2!B284, Active!F:F,0),1)</f>
        <v>30-year Average Annual Normal Minimum Air Temperature</v>
      </c>
      <c r="D284" s="31" t="str">
        <f>INDEX(Active!B:B, MATCH(Spearmans2!B284, Active!F:F,0),1)</f>
        <v>Natural</v>
      </c>
      <c r="E284" s="31" t="str">
        <f>INDEX(Active!D:D, MATCH(Spearmans2!B284, Active!F:F,0),1)</f>
        <v>Climate</v>
      </c>
      <c r="F284" s="31" t="str">
        <f>INDEX(Active!K:K, MATCH(Spearmans2!B284, Active!F:F,0),1)</f>
        <v>PRISM climate data - 30-year normal minimum temperature (CÂ°): Annual period: 1981-2010 within the AOI</v>
      </c>
      <c r="G284" s="32" t="s">
        <v>698</v>
      </c>
      <c r="H284" s="32" t="str">
        <f t="shared" si="9"/>
        <v>distance</v>
      </c>
      <c r="I284" s="32" t="e">
        <f>INDEX(Active!J:J, MATCH(Spearmans2!H284, Active!F:F,0),1)</f>
        <v>#N/A</v>
      </c>
      <c r="J284" s="32" t="e">
        <f>INDEX(Active!B:B, MATCH(Spearmans2!H284, Active!F:F,0),1)</f>
        <v>#N/A</v>
      </c>
      <c r="K284" s="32" t="e">
        <f>INDEX(Active!K:K, MATCH(Spearmans2!H284, Active!F:F,0),1)</f>
        <v>#N/A</v>
      </c>
      <c r="L284" s="33">
        <v>-0.85249668223150654</v>
      </c>
    </row>
    <row r="285" spans="1:12" s="34" customFormat="1" x14ac:dyDescent="0.3">
      <c r="A285" s="30" t="s">
        <v>753</v>
      </c>
      <c r="B285" s="31" t="str">
        <f t="shared" si="8"/>
        <v>TMIN8110</v>
      </c>
      <c r="C285" s="31" t="str">
        <f>INDEX(Active!J:J, MATCH(Spearmans2!B285, Active!F:F,0),1)</f>
        <v>30-year Average Annual Normal Minimum Air Temperature</v>
      </c>
      <c r="D285" s="31" t="str">
        <f>INDEX(Active!B:B, MATCH(Spearmans2!B285, Active!F:F,0),1)</f>
        <v>Natural</v>
      </c>
      <c r="E285" s="31" t="str">
        <f>INDEX(Active!D:D, MATCH(Spearmans2!B285, Active!F:F,0),1)</f>
        <v>Climate</v>
      </c>
      <c r="F285" s="31" t="str">
        <f>INDEX(Active!K:K, MATCH(Spearmans2!B285, Active!F:F,0),1)</f>
        <v>PRISM climate data - 30-year normal minimum temperature (CÂ°): Annual period: 1981-2010 within the AOI</v>
      </c>
      <c r="G285" s="32" t="s">
        <v>699</v>
      </c>
      <c r="H285" s="32" t="str">
        <f t="shared" si="9"/>
        <v>ELEV</v>
      </c>
      <c r="I285" s="32" t="str">
        <f>INDEX(Active!J:J, MATCH(Spearmans2!H285, Active!F:F,0),1)</f>
        <v>Mean Elevation</v>
      </c>
      <c r="J285" s="32" t="str">
        <f>INDEX(Active!B:B, MATCH(Spearmans2!H285, Active!F:F,0),1)</f>
        <v>Natural</v>
      </c>
      <c r="K285" s="32" t="str">
        <f>INDEX(Active!K:K, MATCH(Spearmans2!H285, Active!F:F,0),1)</f>
        <v>Mean AOI elevation (m)</v>
      </c>
      <c r="L285" s="33">
        <v>-0.90712115999016962</v>
      </c>
    </row>
    <row r="286" spans="1:12" s="34" customFormat="1" x14ac:dyDescent="0.3">
      <c r="A286" s="30" t="s">
        <v>753</v>
      </c>
      <c r="B286" s="31" t="str">
        <f t="shared" si="8"/>
        <v>TMIN8110</v>
      </c>
      <c r="C286" s="31" t="str">
        <f>INDEX(Active!J:J, MATCH(Spearmans2!B286, Active!F:F,0),1)</f>
        <v>30-year Average Annual Normal Minimum Air Temperature</v>
      </c>
      <c r="D286" s="31" t="str">
        <f>INDEX(Active!B:B, MATCH(Spearmans2!B286, Active!F:F,0),1)</f>
        <v>Natural</v>
      </c>
      <c r="E286" s="31" t="str">
        <f>INDEX(Active!D:D, MATCH(Spearmans2!B286, Active!F:F,0),1)</f>
        <v>Climate</v>
      </c>
      <c r="F286" s="31" t="str">
        <f>INDEX(Active!K:K, MATCH(Spearmans2!B286, Active!F:F,0),1)</f>
        <v>PRISM climate data - 30-year normal minimum temperature (CÂ°): Annual period: 1981-2010 within the AOI</v>
      </c>
      <c r="G286" s="32" t="s">
        <v>706</v>
      </c>
      <c r="H286" s="32" t="str">
        <f t="shared" si="9"/>
        <v>MAST2008</v>
      </c>
      <c r="I286" s="32" t="str">
        <f>INDEX(Active!J:J, MATCH(Spearmans2!H286, Active!F:F,0),1)</f>
        <v>Mean Annual Stream Temp</v>
      </c>
      <c r="J286" s="32" t="str">
        <f>INDEX(Active!B:B, MATCH(Spearmans2!H286, Active!F:F,0),1)</f>
        <v>Natural</v>
      </c>
      <c r="K286" s="32" t="str">
        <f>INDEX(Active!K:K, MATCH(Spearmans2!H286, Active!F:F,0),1)</f>
        <v>Predicted mean annual stream temperature (Jan-Dec) for year 2008, 2009, 2013, 2014</v>
      </c>
      <c r="L286" s="33">
        <v>0.82138919063188887</v>
      </c>
    </row>
    <row r="287" spans="1:12" s="34" customFormat="1" x14ac:dyDescent="0.3">
      <c r="A287" s="30" t="s">
        <v>753</v>
      </c>
      <c r="B287" s="31" t="str">
        <f t="shared" si="8"/>
        <v>TMIN8110</v>
      </c>
      <c r="C287" s="31" t="str">
        <f>INDEX(Active!J:J, MATCH(Spearmans2!B287, Active!F:F,0),1)</f>
        <v>30-year Average Annual Normal Minimum Air Temperature</v>
      </c>
      <c r="D287" s="31" t="str">
        <f>INDEX(Active!B:B, MATCH(Spearmans2!B287, Active!F:F,0),1)</f>
        <v>Natural</v>
      </c>
      <c r="E287" s="31" t="str">
        <f>INDEX(Active!D:D, MATCH(Spearmans2!B287, Active!F:F,0),1)</f>
        <v>Climate</v>
      </c>
      <c r="F287" s="31" t="str">
        <f>INDEX(Active!K:K, MATCH(Spearmans2!B287, Active!F:F,0),1)</f>
        <v>PRISM climate data - 30-year normal minimum temperature (CÂ°): Annual period: 1981-2010 within the AOI</v>
      </c>
      <c r="G287" s="32" t="s">
        <v>708</v>
      </c>
      <c r="H287" s="32" t="str">
        <f t="shared" si="9"/>
        <v>MWST2008</v>
      </c>
      <c r="I287" s="32" t="str">
        <f>INDEX(Active!J:J, MATCH(Spearmans2!H287, Active!F:F,0),1)</f>
        <v>Mean Winter Stream Temp</v>
      </c>
      <c r="J287" s="32" t="str">
        <f>INDEX(Active!B:B, MATCH(Spearmans2!H287, Active!F:F,0),1)</f>
        <v>Natural</v>
      </c>
      <c r="K287" s="32" t="str">
        <f>INDEX(Active!K:K, MATCH(Spearmans2!H287, Active!F:F,0),1)</f>
        <v>Predicted mean winter stream temperature (Jan-Feb) for year 2008, 2009, 2013, 2014</v>
      </c>
      <c r="L287" s="33">
        <v>0.8849331722324244</v>
      </c>
    </row>
    <row r="288" spans="1:12" s="34" customFormat="1" x14ac:dyDescent="0.3">
      <c r="A288" s="30" t="s">
        <v>753</v>
      </c>
      <c r="B288" s="31" t="str">
        <f t="shared" si="8"/>
        <v>TMIN8110</v>
      </c>
      <c r="C288" s="31" t="str">
        <f>INDEX(Active!J:J, MATCH(Spearmans2!B288, Active!F:F,0),1)</f>
        <v>30-year Average Annual Normal Minimum Air Temperature</v>
      </c>
      <c r="D288" s="31" t="str">
        <f>INDEX(Active!B:B, MATCH(Spearmans2!B288, Active!F:F,0),1)</f>
        <v>Natural</v>
      </c>
      <c r="E288" s="31" t="str">
        <f>INDEX(Active!D:D, MATCH(Spearmans2!B288, Active!F:F,0),1)</f>
        <v>Climate</v>
      </c>
      <c r="F288" s="31" t="str">
        <f>INDEX(Active!K:K, MATCH(Spearmans2!B288, Active!F:F,0),1)</f>
        <v>PRISM climate data - 30-year normal minimum temperature (CÂ°): Annual period: 1981-2010 within the AOI</v>
      </c>
      <c r="G288" s="32" t="s">
        <v>748</v>
      </c>
      <c r="H288" s="32" t="str">
        <f t="shared" si="9"/>
        <v>TMAX8110</v>
      </c>
      <c r="I288" s="32" t="str">
        <f>INDEX(Active!J:J, MATCH(Spearmans2!H288, Active!F:F,0),1)</f>
        <v>30-year Average Annual Normal Maximum Air Temperature</v>
      </c>
      <c r="J288" s="32" t="str">
        <f>INDEX(Active!B:B, MATCH(Spearmans2!H288, Active!F:F,0),1)</f>
        <v>Natural</v>
      </c>
      <c r="K288" s="32" t="str">
        <f>INDEX(Active!K:K, MATCH(Spearmans2!H288, Active!F:F,0),1)</f>
        <v>PRISM climate data - 30-year normal maximum temperature (CÂ°): Annual period: 1981-2010 within the AOI</v>
      </c>
      <c r="L288" s="33">
        <v>0.83826699434750551</v>
      </c>
    </row>
    <row r="289" spans="1:12" s="34" customFormat="1" x14ac:dyDescent="0.3">
      <c r="A289" s="30" t="s">
        <v>753</v>
      </c>
      <c r="B289" s="31" t="str">
        <f t="shared" si="8"/>
        <v>TMIN8110</v>
      </c>
      <c r="C289" s="31" t="str">
        <f>INDEX(Active!J:J, MATCH(Spearmans2!B289, Active!F:F,0),1)</f>
        <v>30-year Average Annual Normal Minimum Air Temperature</v>
      </c>
      <c r="D289" s="31" t="str">
        <f>INDEX(Active!B:B, MATCH(Spearmans2!B289, Active!F:F,0),1)</f>
        <v>Natural</v>
      </c>
      <c r="E289" s="31" t="str">
        <f>INDEX(Active!D:D, MATCH(Spearmans2!B289, Active!F:F,0),1)</f>
        <v>Climate</v>
      </c>
      <c r="F289" s="31" t="str">
        <f>INDEX(Active!K:K, MATCH(Spearmans2!B289, Active!F:F,0),1)</f>
        <v>PRISM climate data - 30-year normal minimum temperature (CÂ°): Annual period: 1981-2010 within the AOI</v>
      </c>
      <c r="G289" s="32" t="s">
        <v>749</v>
      </c>
      <c r="H289" s="32" t="str">
        <f t="shared" si="9"/>
        <v>TMAX9120</v>
      </c>
      <c r="I289" s="32" t="str">
        <f>INDEX(Active!J:J, MATCH(Spearmans2!H289, Active!F:F,0),1)</f>
        <v>30-year Average Annual Normal Maximum Air Temperature</v>
      </c>
      <c r="J289" s="32" t="str">
        <f>INDEX(Active!B:B, MATCH(Spearmans2!H289, Active!F:F,0),1)</f>
        <v>Natural</v>
      </c>
      <c r="K289" s="32" t="str">
        <f>INDEX(Active!K:K, MATCH(Spearmans2!H289, Active!F:F,0),1)</f>
        <v>PRISM climate data - 30-year normal maximum temperature (CÂ°): Annual period: 1991-2020 within the AOI</v>
      </c>
      <c r="L289" s="33">
        <v>0.82641066601130508</v>
      </c>
    </row>
    <row r="290" spans="1:12" s="34" customFormat="1" x14ac:dyDescent="0.3">
      <c r="A290" s="30" t="s">
        <v>753</v>
      </c>
      <c r="B290" s="31" t="str">
        <f t="shared" si="8"/>
        <v>TMIN8110</v>
      </c>
      <c r="C290" s="31" t="str">
        <f>INDEX(Active!J:J, MATCH(Spearmans2!B290, Active!F:F,0),1)</f>
        <v>30-year Average Annual Normal Minimum Air Temperature</v>
      </c>
      <c r="D290" s="31" t="str">
        <f>INDEX(Active!B:B, MATCH(Spearmans2!B290, Active!F:F,0),1)</f>
        <v>Natural</v>
      </c>
      <c r="E290" s="31" t="str">
        <f>INDEX(Active!D:D, MATCH(Spearmans2!B290, Active!F:F,0),1)</f>
        <v>Climate</v>
      </c>
      <c r="F290" s="31" t="str">
        <f>INDEX(Active!K:K, MATCH(Spearmans2!B290, Active!F:F,0),1)</f>
        <v>PRISM climate data - 30-year normal minimum temperature (CÂ°): Annual period: 1981-2010 within the AOI</v>
      </c>
      <c r="G290" s="32" t="s">
        <v>750</v>
      </c>
      <c r="H290" s="32" t="str">
        <f t="shared" si="9"/>
        <v>TMEAN2008</v>
      </c>
      <c r="I290" s="32" t="str">
        <f>INDEX(Active!J:J, MATCH(Spearmans2!H290, Active!F:F,0),1)</f>
        <v>Mean Air Temperature</v>
      </c>
      <c r="J290" s="32" t="str">
        <f>INDEX(Active!B:B, MATCH(Spearmans2!H290, Active!F:F,0),1)</f>
        <v>Natural</v>
      </c>
      <c r="K290" s="32" t="str">
        <f>INDEX(Active!K:K, MATCH(Spearmans2!H290, Active!F:F,0),1)</f>
        <v>PRISM climate data - Mean temperature (°C) within the AOI. Period: 2008 and 2009</v>
      </c>
      <c r="L290" s="33">
        <v>0.92837670189235688</v>
      </c>
    </row>
    <row r="291" spans="1:12" s="34" customFormat="1" x14ac:dyDescent="0.3">
      <c r="A291" s="30" t="s">
        <v>753</v>
      </c>
      <c r="B291" s="31" t="str">
        <f t="shared" si="8"/>
        <v>TMIN8110</v>
      </c>
      <c r="C291" s="31" t="str">
        <f>INDEX(Active!J:J, MATCH(Spearmans2!B291, Active!F:F,0),1)</f>
        <v>30-year Average Annual Normal Minimum Air Temperature</v>
      </c>
      <c r="D291" s="31" t="str">
        <f>INDEX(Active!B:B, MATCH(Spearmans2!B291, Active!F:F,0),1)</f>
        <v>Natural</v>
      </c>
      <c r="E291" s="31" t="str">
        <f>INDEX(Active!D:D, MATCH(Spearmans2!B291, Active!F:F,0),1)</f>
        <v>Climate</v>
      </c>
      <c r="F291" s="31" t="str">
        <f>INDEX(Active!K:K, MATCH(Spearmans2!B291, Active!F:F,0),1)</f>
        <v>PRISM climate data - 30-year normal minimum temperature (CÂ°): Annual period: 1981-2010 within the AOI</v>
      </c>
      <c r="G291" s="32" t="s">
        <v>751</v>
      </c>
      <c r="H291" s="32" t="str">
        <f t="shared" si="9"/>
        <v>TMEAN8110</v>
      </c>
      <c r="I291" s="32" t="str">
        <f>INDEX(Active!J:J, MATCH(Spearmans2!H291, Active!F:F,0),1)</f>
        <v>30-year Mean Annual Air Temperature</v>
      </c>
      <c r="J291" s="32" t="str">
        <f>INDEX(Active!B:B, MATCH(Spearmans2!H291, Active!F:F,0),1)</f>
        <v>Natural</v>
      </c>
      <c r="K291" s="32" t="str">
        <f>INDEX(Active!K:K, MATCH(Spearmans2!H291, Active!F:F,0),1)</f>
        <v>PRISM climate data - 30-year normal mean temperature (CÂ°): Annual period: 1981-2010 within the AOI</v>
      </c>
      <c r="L291" s="33">
        <v>0.95458127304005902</v>
      </c>
    </row>
    <row r="292" spans="1:12" s="34" customFormat="1" x14ac:dyDescent="0.3">
      <c r="A292" s="30" t="s">
        <v>753</v>
      </c>
      <c r="B292" s="31" t="str">
        <f t="shared" si="8"/>
        <v>TMIN8110</v>
      </c>
      <c r="C292" s="31" t="str">
        <f>INDEX(Active!J:J, MATCH(Spearmans2!B292, Active!F:F,0),1)</f>
        <v>30-year Average Annual Normal Minimum Air Temperature</v>
      </c>
      <c r="D292" s="31" t="str">
        <f>INDEX(Active!B:B, MATCH(Spearmans2!B292, Active!F:F,0),1)</f>
        <v>Natural</v>
      </c>
      <c r="E292" s="31" t="str">
        <f>INDEX(Active!D:D, MATCH(Spearmans2!B292, Active!F:F,0),1)</f>
        <v>Climate</v>
      </c>
      <c r="F292" s="31" t="str">
        <f>INDEX(Active!K:K, MATCH(Spearmans2!B292, Active!F:F,0),1)</f>
        <v>PRISM climate data - 30-year normal minimum temperature (CÂ°): Annual period: 1981-2010 within the AOI</v>
      </c>
      <c r="G292" s="32" t="s">
        <v>752</v>
      </c>
      <c r="H292" s="32" t="str">
        <f t="shared" si="9"/>
        <v>TMEAN9120</v>
      </c>
      <c r="I292" s="32" t="str">
        <f>INDEX(Active!J:J, MATCH(Spearmans2!H292, Active!F:F,0),1)</f>
        <v>30-year Mean Annual Air Temperature</v>
      </c>
      <c r="J292" s="32" t="str">
        <f>INDEX(Active!B:B, MATCH(Spearmans2!H292, Active!F:F,0),1)</f>
        <v>Natural</v>
      </c>
      <c r="K292" s="32" t="str">
        <f>INDEX(Active!K:K, MATCH(Spearmans2!H292, Active!F:F,0),1)</f>
        <v>PRISM climate data - 30-year normal mean temperature (CÂ°): Annual period: 1991-2020 within the AOI</v>
      </c>
      <c r="L292" s="33">
        <v>0.94859847628409932</v>
      </c>
    </row>
    <row r="293" spans="1:12" s="34" customFormat="1" x14ac:dyDescent="0.3">
      <c r="A293" s="30" t="s">
        <v>753</v>
      </c>
      <c r="B293" s="31" t="str">
        <f t="shared" si="8"/>
        <v>TMIN8110</v>
      </c>
      <c r="C293" s="31" t="str">
        <f>INDEX(Active!J:J, MATCH(Spearmans2!B293, Active!F:F,0),1)</f>
        <v>30-year Average Annual Normal Minimum Air Temperature</v>
      </c>
      <c r="D293" s="31" t="str">
        <f>INDEX(Active!B:B, MATCH(Spearmans2!B293, Active!F:F,0),1)</f>
        <v>Natural</v>
      </c>
      <c r="E293" s="31" t="str">
        <f>INDEX(Active!D:D, MATCH(Spearmans2!B293, Active!F:F,0),1)</f>
        <v>Climate</v>
      </c>
      <c r="F293" s="31" t="str">
        <f>INDEX(Active!K:K, MATCH(Spearmans2!B293, Active!F:F,0),1)</f>
        <v>PRISM climate data - 30-year normal minimum temperature (CÂ°): Annual period: 1981-2010 within the AOI</v>
      </c>
      <c r="G293" s="32" t="s">
        <v>754</v>
      </c>
      <c r="H293" s="32" t="str">
        <f t="shared" si="9"/>
        <v>TMIN9120</v>
      </c>
      <c r="I293" s="32" t="str">
        <f>INDEX(Active!J:J, MATCH(Spearmans2!H293, Active!F:F,0),1)</f>
        <v>30-year Average Annual Normal Minimum Air Temperature</v>
      </c>
      <c r="J293" s="32" t="str">
        <f>INDEX(Active!B:B, MATCH(Spearmans2!H293, Active!F:F,0),1)</f>
        <v>Natural</v>
      </c>
      <c r="K293" s="32" t="str">
        <f>INDEX(Active!K:K, MATCH(Spearmans2!H293, Active!F:F,0),1)</f>
        <v>PRISM climate data - 30-year normal minimum temperature (CÂ°): Annual period: 1991-2020 within the AOI</v>
      </c>
      <c r="L293" s="33">
        <v>0.9925496190710249</v>
      </c>
    </row>
    <row r="294" spans="1:12" s="29" customFormat="1" x14ac:dyDescent="0.3">
      <c r="A294" s="25" t="s">
        <v>754</v>
      </c>
      <c r="B294" s="26" t="str">
        <f t="shared" si="8"/>
        <v>TMIN9120</v>
      </c>
      <c r="C294" s="26" t="str">
        <f>INDEX(Active!J:J, MATCH(Spearmans2!B294, Active!F:F,0),1)</f>
        <v>30-year Average Annual Normal Minimum Air Temperature</v>
      </c>
      <c r="D294" s="26" t="str">
        <f>INDEX(Active!B:B, MATCH(Spearmans2!B294, Active!F:F,0),1)</f>
        <v>Natural</v>
      </c>
      <c r="E294" s="26" t="str">
        <f>INDEX(Active!D:D, MATCH(Spearmans2!B294, Active!F:F,0),1)</f>
        <v>Climate</v>
      </c>
      <c r="F294" s="26" t="str">
        <f>INDEX(Active!K:K, MATCH(Spearmans2!B294, Active!F:F,0),1)</f>
        <v>PRISM climate data - 30-year normal minimum temperature (CÂ°): Annual period: 1991-2020 within the AOI</v>
      </c>
      <c r="G294" s="27" t="s">
        <v>691</v>
      </c>
      <c r="H294" s="27" t="str">
        <f t="shared" si="9"/>
        <v>BFI</v>
      </c>
      <c r="I294" s="27" t="str">
        <f>INDEX(Active!J:J, MATCH(Spearmans2!H294, Active!F:F,0),1)</f>
        <v>Base Flow Index</v>
      </c>
      <c r="J294" s="27" t="str">
        <f>INDEX(Active!B:B, MATCH(Spearmans2!H294, Active!F:F,0),1)</f>
        <v>Natural</v>
      </c>
      <c r="K294" s="27" t="str">
        <f>INDEX(Active!K:K, MATCH(Spearmans2!H294, Active!F:F,0),1)</f>
        <v>Base flow is the component of streamflow that can be attributed to ground-water discharge into streams. The BFI is the ratio of base flow to total flow, expressed as a percentage, within AOI</v>
      </c>
      <c r="L294" s="28">
        <v>-0.84041594356013816</v>
      </c>
    </row>
    <row r="295" spans="1:12" s="34" customFormat="1" x14ac:dyDescent="0.3">
      <c r="A295" s="30" t="s">
        <v>754</v>
      </c>
      <c r="B295" s="31" t="str">
        <f t="shared" si="8"/>
        <v>TMIN9120</v>
      </c>
      <c r="C295" s="31" t="str">
        <f>INDEX(Active!J:J, MATCH(Spearmans2!B295, Active!F:F,0),1)</f>
        <v>30-year Average Annual Normal Minimum Air Temperature</v>
      </c>
      <c r="D295" s="31" t="str">
        <f>INDEX(Active!B:B, MATCH(Spearmans2!B295, Active!F:F,0),1)</f>
        <v>Natural</v>
      </c>
      <c r="E295" s="31" t="str">
        <f>INDEX(Active!D:D, MATCH(Spearmans2!B295, Active!F:F,0),1)</f>
        <v>Climate</v>
      </c>
      <c r="F295" s="31" t="str">
        <f>INDEX(Active!K:K, MATCH(Spearmans2!B295, Active!F:F,0),1)</f>
        <v>PRISM climate data - 30-year normal minimum temperature (CÂ°): Annual period: 1991-2020 within the AOI</v>
      </c>
      <c r="G295" s="32" t="s">
        <v>698</v>
      </c>
      <c r="H295" s="32" t="str">
        <f t="shared" si="9"/>
        <v>distance</v>
      </c>
      <c r="I295" s="32" t="e">
        <f>INDEX(Active!J:J, MATCH(Spearmans2!H295, Active!F:F,0),1)</f>
        <v>#N/A</v>
      </c>
      <c r="J295" s="32" t="e">
        <f>INDEX(Active!B:B, MATCH(Spearmans2!H295, Active!F:F,0),1)</f>
        <v>#N/A</v>
      </c>
      <c r="K295" s="32" t="e">
        <f>INDEX(Active!K:K, MATCH(Spearmans2!H295, Active!F:F,0),1)</f>
        <v>#N/A</v>
      </c>
      <c r="L295" s="33">
        <v>-0.84133044974195148</v>
      </c>
    </row>
    <row r="296" spans="1:12" s="34" customFormat="1" x14ac:dyDescent="0.3">
      <c r="A296" s="30" t="s">
        <v>754</v>
      </c>
      <c r="B296" s="31" t="str">
        <f t="shared" si="8"/>
        <v>TMIN9120</v>
      </c>
      <c r="C296" s="31" t="str">
        <f>INDEX(Active!J:J, MATCH(Spearmans2!B296, Active!F:F,0),1)</f>
        <v>30-year Average Annual Normal Minimum Air Temperature</v>
      </c>
      <c r="D296" s="31" t="str">
        <f>INDEX(Active!B:B, MATCH(Spearmans2!B296, Active!F:F,0),1)</f>
        <v>Natural</v>
      </c>
      <c r="E296" s="31" t="str">
        <f>INDEX(Active!D:D, MATCH(Spearmans2!B296, Active!F:F,0),1)</f>
        <v>Climate</v>
      </c>
      <c r="F296" s="31" t="str">
        <f>INDEX(Active!K:K, MATCH(Spearmans2!B296, Active!F:F,0),1)</f>
        <v>PRISM climate data - 30-year normal minimum temperature (CÂ°): Annual period: 1991-2020 within the AOI</v>
      </c>
      <c r="G296" s="32" t="s">
        <v>699</v>
      </c>
      <c r="H296" s="32" t="str">
        <f t="shared" si="9"/>
        <v>ELEV</v>
      </c>
      <c r="I296" s="32" t="str">
        <f>INDEX(Active!J:J, MATCH(Spearmans2!H296, Active!F:F,0),1)</f>
        <v>Mean Elevation</v>
      </c>
      <c r="J296" s="32" t="str">
        <f>INDEX(Active!B:B, MATCH(Spearmans2!H296, Active!F:F,0),1)</f>
        <v>Natural</v>
      </c>
      <c r="K296" s="32" t="str">
        <f>INDEX(Active!K:K, MATCH(Spearmans2!H296, Active!F:F,0),1)</f>
        <v>Mean AOI elevation (m)</v>
      </c>
      <c r="L296" s="33">
        <v>-0.8914588842467438</v>
      </c>
    </row>
    <row r="297" spans="1:12" s="34" customFormat="1" x14ac:dyDescent="0.3">
      <c r="A297" s="30" t="s">
        <v>754</v>
      </c>
      <c r="B297" s="31" t="str">
        <f t="shared" si="8"/>
        <v>TMIN9120</v>
      </c>
      <c r="C297" s="31" t="str">
        <f>INDEX(Active!J:J, MATCH(Spearmans2!B297, Active!F:F,0),1)</f>
        <v>30-year Average Annual Normal Minimum Air Temperature</v>
      </c>
      <c r="D297" s="31" t="str">
        <f>INDEX(Active!B:B, MATCH(Spearmans2!B297, Active!F:F,0),1)</f>
        <v>Natural</v>
      </c>
      <c r="E297" s="31" t="str">
        <f>INDEX(Active!D:D, MATCH(Spearmans2!B297, Active!F:F,0),1)</f>
        <v>Climate</v>
      </c>
      <c r="F297" s="31" t="str">
        <f>INDEX(Active!K:K, MATCH(Spearmans2!B297, Active!F:F,0),1)</f>
        <v>PRISM climate data - 30-year normal minimum temperature (CÂ°): Annual period: 1991-2020 within the AOI</v>
      </c>
      <c r="G297" s="32" t="s">
        <v>706</v>
      </c>
      <c r="H297" s="32" t="str">
        <f t="shared" si="9"/>
        <v>MAST2008</v>
      </c>
      <c r="I297" s="32" t="str">
        <f>INDEX(Active!J:J, MATCH(Spearmans2!H297, Active!F:F,0),1)</f>
        <v>Mean Annual Stream Temp</v>
      </c>
      <c r="J297" s="32" t="str">
        <f>INDEX(Active!B:B, MATCH(Spearmans2!H297, Active!F:F,0),1)</f>
        <v>Natural</v>
      </c>
      <c r="K297" s="32" t="str">
        <f>INDEX(Active!K:K, MATCH(Spearmans2!H297, Active!F:F,0),1)</f>
        <v>Predicted mean annual stream temperature (Jan-Dec) for year 2008, 2009, 2013, 2014</v>
      </c>
      <c r="L297" s="33">
        <v>0.82977525619035042</v>
      </c>
    </row>
    <row r="298" spans="1:12" s="34" customFormat="1" x14ac:dyDescent="0.3">
      <c r="A298" s="30" t="s">
        <v>754</v>
      </c>
      <c r="B298" s="31" t="str">
        <f t="shared" si="8"/>
        <v>TMIN9120</v>
      </c>
      <c r="C298" s="31" t="str">
        <f>INDEX(Active!J:J, MATCH(Spearmans2!B298, Active!F:F,0),1)</f>
        <v>30-year Average Annual Normal Minimum Air Temperature</v>
      </c>
      <c r="D298" s="31" t="str">
        <f>INDEX(Active!B:B, MATCH(Spearmans2!B298, Active!F:F,0),1)</f>
        <v>Natural</v>
      </c>
      <c r="E298" s="31" t="str">
        <f>INDEX(Active!D:D, MATCH(Spearmans2!B298, Active!F:F,0),1)</f>
        <v>Climate</v>
      </c>
      <c r="F298" s="31" t="str">
        <f>INDEX(Active!K:K, MATCH(Spearmans2!B298, Active!F:F,0),1)</f>
        <v>PRISM climate data - 30-year normal minimum temperature (CÂ°): Annual period: 1991-2020 within the AOI</v>
      </c>
      <c r="G298" s="32" t="s">
        <v>708</v>
      </c>
      <c r="H298" s="32" t="str">
        <f t="shared" si="9"/>
        <v>MWST2008</v>
      </c>
      <c r="I298" s="32" t="str">
        <f>INDEX(Active!J:J, MATCH(Spearmans2!H298, Active!F:F,0),1)</f>
        <v>Mean Winter Stream Temp</v>
      </c>
      <c r="J298" s="32" t="str">
        <f>INDEX(Active!B:B, MATCH(Spearmans2!H298, Active!F:F,0),1)</f>
        <v>Natural</v>
      </c>
      <c r="K298" s="32" t="str">
        <f>INDEX(Active!K:K, MATCH(Spearmans2!H298, Active!F:F,0),1)</f>
        <v>Predicted mean winter stream temperature (Jan-Feb) for year 2008, 2009, 2013, 2014</v>
      </c>
      <c r="L298" s="33">
        <v>0.87554982834612016</v>
      </c>
    </row>
    <row r="299" spans="1:12" s="34" customFormat="1" x14ac:dyDescent="0.3">
      <c r="A299" s="30" t="s">
        <v>754</v>
      </c>
      <c r="B299" s="31" t="str">
        <f t="shared" si="8"/>
        <v>TMIN9120</v>
      </c>
      <c r="C299" s="31" t="str">
        <f>INDEX(Active!J:J, MATCH(Spearmans2!B299, Active!F:F,0),1)</f>
        <v>30-year Average Annual Normal Minimum Air Temperature</v>
      </c>
      <c r="D299" s="31" t="str">
        <f>INDEX(Active!B:B, MATCH(Spearmans2!B299, Active!F:F,0),1)</f>
        <v>Natural</v>
      </c>
      <c r="E299" s="31" t="str">
        <f>INDEX(Active!D:D, MATCH(Spearmans2!B299, Active!F:F,0),1)</f>
        <v>Climate</v>
      </c>
      <c r="F299" s="31" t="str">
        <f>INDEX(Active!K:K, MATCH(Spearmans2!B299, Active!F:F,0),1)</f>
        <v>PRISM climate data - 30-year normal minimum temperature (CÂ°): Annual period: 1991-2020 within the AOI</v>
      </c>
      <c r="G299" s="32" t="s">
        <v>748</v>
      </c>
      <c r="H299" s="32" t="str">
        <f t="shared" si="9"/>
        <v>TMAX8110</v>
      </c>
      <c r="I299" s="32" t="str">
        <f>INDEX(Active!J:J, MATCH(Spearmans2!H299, Active!F:F,0),1)</f>
        <v>30-year Average Annual Normal Maximum Air Temperature</v>
      </c>
      <c r="J299" s="32" t="str">
        <f>INDEX(Active!B:B, MATCH(Spearmans2!H299, Active!F:F,0),1)</f>
        <v>Natural</v>
      </c>
      <c r="K299" s="32" t="str">
        <f>INDEX(Active!K:K, MATCH(Spearmans2!H299, Active!F:F,0),1)</f>
        <v>PRISM climate data - 30-year normal maximum temperature (CÂ°): Annual period: 1981-2010 within the AOI</v>
      </c>
      <c r="L299" s="33">
        <v>0.84298166625706561</v>
      </c>
    </row>
    <row r="300" spans="1:12" s="34" customFormat="1" x14ac:dyDescent="0.3">
      <c r="A300" s="30" t="s">
        <v>754</v>
      </c>
      <c r="B300" s="31" t="str">
        <f t="shared" si="8"/>
        <v>TMIN9120</v>
      </c>
      <c r="C300" s="31" t="str">
        <f>INDEX(Active!J:J, MATCH(Spearmans2!B300, Active!F:F,0),1)</f>
        <v>30-year Average Annual Normal Minimum Air Temperature</v>
      </c>
      <c r="D300" s="31" t="str">
        <f>INDEX(Active!B:B, MATCH(Spearmans2!B300, Active!F:F,0),1)</f>
        <v>Natural</v>
      </c>
      <c r="E300" s="31" t="str">
        <f>INDEX(Active!D:D, MATCH(Spearmans2!B300, Active!F:F,0),1)</f>
        <v>Climate</v>
      </c>
      <c r="F300" s="31" t="str">
        <f>INDEX(Active!K:K, MATCH(Spearmans2!B300, Active!F:F,0),1)</f>
        <v>PRISM climate data - 30-year normal minimum temperature (CÂ°): Annual period: 1991-2020 within the AOI</v>
      </c>
      <c r="G300" s="32" t="s">
        <v>749</v>
      </c>
      <c r="H300" s="32" t="str">
        <f t="shared" si="9"/>
        <v>TMAX9120</v>
      </c>
      <c r="I300" s="32" t="str">
        <f>INDEX(Active!J:J, MATCH(Spearmans2!H300, Active!F:F,0),1)</f>
        <v>30-year Average Annual Normal Maximum Air Temperature</v>
      </c>
      <c r="J300" s="32" t="str">
        <f>INDEX(Active!B:B, MATCH(Spearmans2!H300, Active!F:F,0),1)</f>
        <v>Natural</v>
      </c>
      <c r="K300" s="32" t="str">
        <f>INDEX(Active!K:K, MATCH(Spearmans2!H300, Active!F:F,0),1)</f>
        <v>PRISM climate data - 30-year normal maximum temperature (CÂ°): Annual period: 1991-2020 within the AOI</v>
      </c>
      <c r="L300" s="33">
        <v>0.83259311870238395</v>
      </c>
    </row>
    <row r="301" spans="1:12" s="34" customFormat="1" x14ac:dyDescent="0.3">
      <c r="A301" s="30" t="s">
        <v>754</v>
      </c>
      <c r="B301" s="31" t="str">
        <f t="shared" si="8"/>
        <v>TMIN9120</v>
      </c>
      <c r="C301" s="31" t="str">
        <f>INDEX(Active!J:J, MATCH(Spearmans2!B301, Active!F:F,0),1)</f>
        <v>30-year Average Annual Normal Minimum Air Temperature</v>
      </c>
      <c r="D301" s="31" t="str">
        <f>INDEX(Active!B:B, MATCH(Spearmans2!B301, Active!F:F,0),1)</f>
        <v>Natural</v>
      </c>
      <c r="E301" s="31" t="str">
        <f>INDEX(Active!D:D, MATCH(Spearmans2!B301, Active!F:F,0),1)</f>
        <v>Climate</v>
      </c>
      <c r="F301" s="31" t="str">
        <f>INDEX(Active!K:K, MATCH(Spearmans2!B301, Active!F:F,0),1)</f>
        <v>PRISM climate data - 30-year normal minimum temperature (CÂ°): Annual period: 1991-2020 within the AOI</v>
      </c>
      <c r="G301" s="32" t="s">
        <v>750</v>
      </c>
      <c r="H301" s="32" t="str">
        <f t="shared" si="9"/>
        <v>TMEAN2008</v>
      </c>
      <c r="I301" s="32" t="str">
        <f>INDEX(Active!J:J, MATCH(Spearmans2!H301, Active!F:F,0),1)</f>
        <v>Mean Air Temperature</v>
      </c>
      <c r="J301" s="32" t="str">
        <f>INDEX(Active!B:B, MATCH(Spearmans2!H301, Active!F:F,0),1)</f>
        <v>Natural</v>
      </c>
      <c r="K301" s="32" t="str">
        <f>INDEX(Active!K:K, MATCH(Spearmans2!H301, Active!F:F,0),1)</f>
        <v>PRISM climate data - Mean temperature (°C) within the AOI. Period: 2008 and 2009</v>
      </c>
      <c r="L301" s="33">
        <v>0.93293978864585902</v>
      </c>
    </row>
    <row r="302" spans="1:12" s="34" customFormat="1" x14ac:dyDescent="0.3">
      <c r="A302" s="30" t="s">
        <v>754</v>
      </c>
      <c r="B302" s="31" t="str">
        <f t="shared" si="8"/>
        <v>TMIN9120</v>
      </c>
      <c r="C302" s="31" t="str">
        <f>INDEX(Active!J:J, MATCH(Spearmans2!B302, Active!F:F,0),1)</f>
        <v>30-year Average Annual Normal Minimum Air Temperature</v>
      </c>
      <c r="D302" s="31" t="str">
        <f>INDEX(Active!B:B, MATCH(Spearmans2!B302, Active!F:F,0),1)</f>
        <v>Natural</v>
      </c>
      <c r="E302" s="31" t="str">
        <f>INDEX(Active!D:D, MATCH(Spearmans2!B302, Active!F:F,0),1)</f>
        <v>Climate</v>
      </c>
      <c r="F302" s="31" t="str">
        <f>INDEX(Active!K:K, MATCH(Spearmans2!B302, Active!F:F,0),1)</f>
        <v>PRISM climate data - 30-year normal minimum temperature (CÂ°): Annual period: 1991-2020 within the AOI</v>
      </c>
      <c r="G302" s="32" t="s">
        <v>751</v>
      </c>
      <c r="H302" s="32" t="str">
        <f t="shared" si="9"/>
        <v>TMEAN8110</v>
      </c>
      <c r="I302" s="32" t="str">
        <f>INDEX(Active!J:J, MATCH(Spearmans2!H302, Active!F:F,0),1)</f>
        <v>30-year Mean Annual Air Temperature</v>
      </c>
      <c r="J302" s="32" t="str">
        <f>INDEX(Active!B:B, MATCH(Spearmans2!H302, Active!F:F,0),1)</f>
        <v>Natural</v>
      </c>
      <c r="K302" s="32" t="str">
        <f>INDEX(Active!K:K, MATCH(Spearmans2!H302, Active!F:F,0),1)</f>
        <v>PRISM climate data - 30-year normal mean temperature (CÂ°): Annual period: 1981-2010 within the AOI</v>
      </c>
      <c r="L302" s="33">
        <v>0.95462521504055065</v>
      </c>
    </row>
    <row r="303" spans="1:12" s="34" customFormat="1" x14ac:dyDescent="0.3">
      <c r="A303" s="30" t="s">
        <v>754</v>
      </c>
      <c r="B303" s="31" t="str">
        <f t="shared" si="8"/>
        <v>TMIN9120</v>
      </c>
      <c r="C303" s="31" t="str">
        <f>INDEX(Active!J:J, MATCH(Spearmans2!B303, Active!F:F,0),1)</f>
        <v>30-year Average Annual Normal Minimum Air Temperature</v>
      </c>
      <c r="D303" s="31" t="str">
        <f>INDEX(Active!B:B, MATCH(Spearmans2!B303, Active!F:F,0),1)</f>
        <v>Natural</v>
      </c>
      <c r="E303" s="31" t="str">
        <f>INDEX(Active!D:D, MATCH(Spearmans2!B303, Active!F:F,0),1)</f>
        <v>Climate</v>
      </c>
      <c r="F303" s="31" t="str">
        <f>INDEX(Active!K:K, MATCH(Spearmans2!B303, Active!F:F,0),1)</f>
        <v>PRISM climate data - 30-year normal minimum temperature (CÂ°): Annual period: 1991-2020 within the AOI</v>
      </c>
      <c r="G303" s="32" t="s">
        <v>752</v>
      </c>
      <c r="H303" s="32" t="str">
        <f t="shared" si="9"/>
        <v>TMEAN9120</v>
      </c>
      <c r="I303" s="32" t="str">
        <f>INDEX(Active!J:J, MATCH(Spearmans2!H303, Active!F:F,0),1)</f>
        <v>30-year Mean Annual Air Temperature</v>
      </c>
      <c r="J303" s="32" t="str">
        <f>INDEX(Active!B:B, MATCH(Spearmans2!H303, Active!F:F,0),1)</f>
        <v>Natural</v>
      </c>
      <c r="K303" s="32" t="str">
        <f>INDEX(Active!K:K, MATCH(Spearmans2!H303, Active!F:F,0),1)</f>
        <v>PRISM climate data - 30-year normal mean temperature (CÂ°): Annual period: 1991-2020 within the AOI</v>
      </c>
      <c r="L303" s="33">
        <v>0.95593138363234209</v>
      </c>
    </row>
    <row r="304" spans="1:12" s="39" customFormat="1" x14ac:dyDescent="0.3">
      <c r="A304" s="35" t="s">
        <v>754</v>
      </c>
      <c r="B304" s="36" t="str">
        <f t="shared" si="8"/>
        <v>TMIN9120</v>
      </c>
      <c r="C304" s="36" t="str">
        <f>INDEX(Active!J:J, MATCH(Spearmans2!B304, Active!F:F,0),1)</f>
        <v>30-year Average Annual Normal Minimum Air Temperature</v>
      </c>
      <c r="D304" s="36" t="str">
        <f>INDEX(Active!B:B, MATCH(Spearmans2!B304, Active!F:F,0),1)</f>
        <v>Natural</v>
      </c>
      <c r="E304" s="36" t="str">
        <f>INDEX(Active!D:D, MATCH(Spearmans2!B304, Active!F:F,0),1)</f>
        <v>Climate</v>
      </c>
      <c r="F304" s="36" t="str">
        <f>INDEX(Active!K:K, MATCH(Spearmans2!B304, Active!F:F,0),1)</f>
        <v>PRISM climate data - 30-year normal minimum temperature (CÂ°): Annual period: 1991-2020 within the AOI</v>
      </c>
      <c r="G304" s="37" t="s">
        <v>753</v>
      </c>
      <c r="H304" s="37" t="str">
        <f t="shared" si="9"/>
        <v>TMIN8110</v>
      </c>
      <c r="I304" s="37" t="str">
        <f>INDEX(Active!J:J, MATCH(Spearmans2!H304, Active!F:F,0),1)</f>
        <v>30-year Average Annual Normal Minimum Air Temperature</v>
      </c>
      <c r="J304" s="37" t="str">
        <f>INDEX(Active!B:B, MATCH(Spearmans2!H304, Active!F:F,0),1)</f>
        <v>Natural</v>
      </c>
      <c r="K304" s="37" t="str">
        <f>INDEX(Active!K:K, MATCH(Spearmans2!H304, Active!F:F,0),1)</f>
        <v>PRISM climate data - 30-year normal minimum temperature (CÂ°): Annual period: 1981-2010 within the AOI</v>
      </c>
      <c r="L304" s="38">
        <v>0.9925496190710249</v>
      </c>
    </row>
    <row r="305" spans="1:12" s="47" customFormat="1" x14ac:dyDescent="0.3">
      <c r="A305" s="44" t="s">
        <v>755</v>
      </c>
      <c r="B305" s="44" t="str">
        <f t="shared" si="8"/>
        <v>WATERINPUT</v>
      </c>
      <c r="C305" s="44" t="str">
        <f>INDEX(Active!J:J, MATCH(Spearmans2!B305, Active!F:F,0),1)</f>
        <v>Water Input</v>
      </c>
      <c r="D305" s="44" t="str">
        <f>INDEX(Active!B:B, MATCH(Spearmans2!B305, Active!F:F,0),1)</f>
        <v>Anthropogenic</v>
      </c>
      <c r="E305" s="44" t="str">
        <f>INDEX(Active!D:D, MATCH(Spearmans2!B305, Active!F:F,0),1)</f>
        <v>Agriculture</v>
      </c>
      <c r="F305" s="44" t="str">
        <f>INDEX(Active!K:K, MATCH(Spearmans2!B305, Active!F:F,0),1)</f>
        <v>Water Input (km2/cm): Ratio of the total area of irrigated land to precipitation within AOI</v>
      </c>
      <c r="G305" s="45" t="s">
        <v>687</v>
      </c>
      <c r="H305" s="45" t="str">
        <f t="shared" si="9"/>
        <v>AGKFFACT</v>
      </c>
      <c r="I305" s="45" t="str">
        <f>INDEX(Active!J:J, MATCH(Spearmans2!H305, Active!F:F,0),1)</f>
        <v>Ag Soil Erodibility Kf Factor</v>
      </c>
      <c r="J305" s="45" t="str">
        <f>INDEX(Active!B:B, MATCH(Spearmans2!H305, Active!F:F,0),1)</f>
        <v>Anthropogenic</v>
      </c>
      <c r="K305" s="45" t="str">
        <f>INDEX(Active!K:K, MATCH(Spearmans2!H305,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305" s="46">
        <v>0.92320941532887735</v>
      </c>
    </row>
    <row r="306" spans="1:12" s="47" customFormat="1" x14ac:dyDescent="0.3">
      <c r="A306" s="44" t="s">
        <v>755</v>
      </c>
      <c r="B306" s="44" t="str">
        <f t="shared" si="8"/>
        <v>WATERINPUT</v>
      </c>
      <c r="C306" s="44" t="str">
        <f>INDEX(Active!J:J, MATCH(Spearmans2!B306, Active!F:F,0),1)</f>
        <v>Water Input</v>
      </c>
      <c r="D306" s="44" t="str">
        <f>INDEX(Active!B:B, MATCH(Spearmans2!B306, Active!F:F,0),1)</f>
        <v>Anthropogenic</v>
      </c>
      <c r="E306" s="44" t="str">
        <f>INDEX(Active!D:D, MATCH(Spearmans2!B306, Active!F:F,0),1)</f>
        <v>Agriculture</v>
      </c>
      <c r="F306" s="44" t="str">
        <f>INDEX(Active!K:K, MATCH(Spearmans2!B306, Active!F:F,0),1)</f>
        <v>Water Input (km2/cm): Ratio of the total area of irrigated land to precipitation within AOI</v>
      </c>
      <c r="G306" s="45" t="s">
        <v>693</v>
      </c>
      <c r="H306" s="45" t="str">
        <f t="shared" si="9"/>
        <v>CBNF</v>
      </c>
      <c r="I306" s="45" t="str">
        <f>INDEX(Active!J:J, MATCH(Spearmans2!H306, Active!F:F,0),1)</f>
        <v>Cultivated Biological Nitrogen Fixation Mean Rate</v>
      </c>
      <c r="J306" s="45" t="str">
        <f>INDEX(Active!B:B, MATCH(Spearmans2!H306, Active!F:F,0),1)</f>
        <v>Anthropogenic</v>
      </c>
      <c r="K306" s="45" t="str">
        <f>INDEX(Active!K:K, MATCH(Spearmans2!H306, Active!F:F,0),1)</f>
        <v>Mean rate of biological nitrogen fixation from the cultivation of crops in kg N/ha/yr, within AOI</v>
      </c>
      <c r="L306" s="46">
        <v>0.95061367905320326</v>
      </c>
    </row>
    <row r="307" spans="1:12" s="47" customFormat="1" x14ac:dyDescent="0.3">
      <c r="A307" s="44" t="s">
        <v>755</v>
      </c>
      <c r="B307" s="44" t="str">
        <f t="shared" si="8"/>
        <v>WATERINPUT</v>
      </c>
      <c r="C307" s="44" t="str">
        <f>INDEX(Active!J:J, MATCH(Spearmans2!B307, Active!F:F,0),1)</f>
        <v>Water Input</v>
      </c>
      <c r="D307" s="44" t="str">
        <f>INDEX(Active!B:B, MATCH(Spearmans2!B307, Active!F:F,0),1)</f>
        <v>Anthropogenic</v>
      </c>
      <c r="E307" s="44" t="str">
        <f>INDEX(Active!D:D, MATCH(Spearmans2!B307, Active!F:F,0),1)</f>
        <v>Agriculture</v>
      </c>
      <c r="F307" s="44" t="str">
        <f>INDEX(Active!K:K, MATCH(Spearmans2!B307, Active!F:F,0),1)</f>
        <v>Water Input (km2/cm): Ratio of the total area of irrigated land to precipitation within AOI</v>
      </c>
      <c r="G307" s="45" t="s">
        <v>701</v>
      </c>
      <c r="H307" s="45" t="str">
        <f t="shared" si="9"/>
        <v>FERT</v>
      </c>
      <c r="I307" s="45" t="str">
        <f>INDEX(Active!J:J, MATCH(Spearmans2!H307, Active!F:F,0),1)</f>
        <v>Synthetic Nitrogen Fertilizer Application Mean Rate</v>
      </c>
      <c r="J307" s="45" t="str">
        <f>INDEX(Active!B:B, MATCH(Spearmans2!H307, Active!F:F,0),1)</f>
        <v>Anthropogenic</v>
      </c>
      <c r="K307" s="45" t="str">
        <f>INDEX(Active!K:K, MATCH(Spearmans2!H307, Active!F:F,0),1)</f>
        <v>Mean rate of synthetic nitrogen fertilizer application to agricultural land in kg N/ha/yr, within the AOI</v>
      </c>
      <c r="L307" s="46">
        <v>0.93267861210277236</v>
      </c>
    </row>
    <row r="308" spans="1:12" s="47" customFormat="1" x14ac:dyDescent="0.3">
      <c r="A308" s="44" t="s">
        <v>755</v>
      </c>
      <c r="B308" s="44" t="str">
        <f t="shared" si="8"/>
        <v>WATERINPUT</v>
      </c>
      <c r="C308" s="44" t="str">
        <f>INDEX(Active!J:J, MATCH(Spearmans2!B308, Active!F:F,0),1)</f>
        <v>Water Input</v>
      </c>
      <c r="D308" s="44" t="str">
        <f>INDEX(Active!B:B, MATCH(Spearmans2!B308, Active!F:F,0),1)</f>
        <v>Anthropogenic</v>
      </c>
      <c r="E308" s="44" t="str">
        <f>INDEX(Active!D:D, MATCH(Spearmans2!B308, Active!F:F,0),1)</f>
        <v>Agriculture</v>
      </c>
      <c r="F308" s="44" t="str">
        <f>INDEX(Active!K:K, MATCH(Spearmans2!B308, Active!F:F,0),1)</f>
        <v>Water Input (km2/cm): Ratio of the total area of irrigated land to precipitation within AOI</v>
      </c>
      <c r="G308" s="45" t="s">
        <v>705</v>
      </c>
      <c r="H308" s="45" t="str">
        <f t="shared" si="9"/>
        <v>MANURE</v>
      </c>
      <c r="I308" s="45" t="str">
        <f>INDEX(Active!J:J, MATCH(Spearmans2!H308, Active!F:F,0),1)</f>
        <v>Mean Manure Application Rate</v>
      </c>
      <c r="J308" s="45" t="str">
        <f>INDEX(Active!B:B, MATCH(Spearmans2!H308, Active!F:F,0),1)</f>
        <v>Anthropogenic</v>
      </c>
      <c r="K308" s="45" t="str">
        <f>INDEX(Active!K:K, MATCH(Spearmans2!H308, Active!F:F,0),1)</f>
        <v>Mean rate of manure application to agricultural land from confined animal feeding operations in kg N/ha/yr, within AOI</v>
      </c>
      <c r="L308" s="46">
        <v>0.81392864700471523</v>
      </c>
    </row>
    <row r="309" spans="1:12" s="47" customFormat="1" x14ac:dyDescent="0.3">
      <c r="A309" s="44" t="s">
        <v>755</v>
      </c>
      <c r="B309" s="44" t="str">
        <f t="shared" si="8"/>
        <v>WATERINPUT</v>
      </c>
      <c r="C309" s="44" t="str">
        <f>INDEX(Active!J:J, MATCH(Spearmans2!B309, Active!F:F,0),1)</f>
        <v>Water Input</v>
      </c>
      <c r="D309" s="44" t="str">
        <f>INDEX(Active!B:B, MATCH(Spearmans2!B309, Active!F:F,0),1)</f>
        <v>Anthropogenic</v>
      </c>
      <c r="E309" s="44" t="str">
        <f>INDEX(Active!D:D, MATCH(Spearmans2!B309, Active!F:F,0),1)</f>
        <v>Agriculture</v>
      </c>
      <c r="F309" s="44" t="str">
        <f>INDEX(Active!K:K, MATCH(Spearmans2!B309, Active!F:F,0),1)</f>
        <v>Water Input (km2/cm): Ratio of the total area of irrigated land to precipitation within AOI</v>
      </c>
      <c r="G309" s="45" t="s">
        <v>756</v>
      </c>
      <c r="H309" s="45" t="str">
        <f t="shared" si="9"/>
        <v>WDRW_LD</v>
      </c>
      <c r="I309" s="45" t="str">
        <f>INDEX(Active!J:J, MATCH(Spearmans2!H309, Active!F:F,0),1)</f>
        <v>Agricultural Fresh Surface-Water Withdraw</v>
      </c>
      <c r="J309" s="45" t="str">
        <f>INDEX(Active!B:B, MATCH(Spearmans2!H309, Active!F:F,0),1)</f>
        <v>Anthropogenic</v>
      </c>
      <c r="K309" s="45" t="str">
        <f>INDEX(Active!K:K, MATCH(Spearmans2!H309, Active!F:F,0),1)</f>
        <v>Total fresh surface-water withdrawals in agricultural land per AOI area (L/day)</v>
      </c>
      <c r="L309" s="46">
        <v>0.98063976541557085</v>
      </c>
    </row>
    <row r="310" spans="1:12" s="29" customFormat="1" x14ac:dyDescent="0.3">
      <c r="A310" s="25" t="s">
        <v>756</v>
      </c>
      <c r="B310" s="26" t="str">
        <f t="shared" si="8"/>
        <v>WDRW_LD</v>
      </c>
      <c r="C310" s="26" t="str">
        <f>INDEX(Active!J:J, MATCH(Spearmans2!B310, Active!F:F,0),1)</f>
        <v>Agricultural Fresh Surface-Water Withdraw</v>
      </c>
      <c r="D310" s="26" t="str">
        <f>INDEX(Active!B:B, MATCH(Spearmans2!B310, Active!F:F,0),1)</f>
        <v>Anthropogenic</v>
      </c>
      <c r="E310" s="26" t="str">
        <f>INDEX(Active!D:D, MATCH(Spearmans2!B310, Active!F:F,0),1)</f>
        <v>Agriculture</v>
      </c>
      <c r="F310" s="26" t="str">
        <f>INDEX(Active!K:K, MATCH(Spearmans2!B310, Active!F:F,0),1)</f>
        <v>Total fresh surface-water withdrawals in agricultural land per AOI area (L/day)</v>
      </c>
      <c r="G310" s="27" t="s">
        <v>687</v>
      </c>
      <c r="H310" s="27" t="str">
        <f t="shared" si="9"/>
        <v>AGKFFACT</v>
      </c>
      <c r="I310" s="27" t="str">
        <f>INDEX(Active!J:J, MATCH(Spearmans2!H310, Active!F:F,0),1)</f>
        <v>Ag Soil Erodibility Kf Factor</v>
      </c>
      <c r="J310" s="27" t="str">
        <f>INDEX(Active!B:B, MATCH(Spearmans2!H310, Active!F:F,0),1)</f>
        <v>Anthropogenic</v>
      </c>
      <c r="K310" s="27" t="str">
        <f>INDEX(Active!K:K, MATCH(Spearmans2!H310, Active!F:F,0),1)</f>
        <v>Mean of STATSGO Kffactor raster on agricultural land (NLCD 2006) within AOI. The Universal Soil Loss Equation (USLE) and represents a relative index of susceptibility of bare, cultivated soil to particle detachment and transport by rainfall</v>
      </c>
      <c r="L310" s="28">
        <v>0.93960965946699904</v>
      </c>
    </row>
    <row r="311" spans="1:12" s="34" customFormat="1" x14ac:dyDescent="0.3">
      <c r="A311" s="30" t="s">
        <v>756</v>
      </c>
      <c r="B311" s="31" t="str">
        <f t="shared" si="8"/>
        <v>WDRW_LD</v>
      </c>
      <c r="C311" s="31" t="str">
        <f>INDEX(Active!J:J, MATCH(Spearmans2!B311, Active!F:F,0),1)</f>
        <v>Agricultural Fresh Surface-Water Withdraw</v>
      </c>
      <c r="D311" s="31" t="str">
        <f>INDEX(Active!B:B, MATCH(Spearmans2!B311, Active!F:F,0),1)</f>
        <v>Anthropogenic</v>
      </c>
      <c r="E311" s="31" t="str">
        <f>INDEX(Active!D:D, MATCH(Spearmans2!B311, Active!F:F,0),1)</f>
        <v>Agriculture</v>
      </c>
      <c r="F311" s="31" t="str">
        <f>INDEX(Active!K:K, MATCH(Spearmans2!B311, Active!F:F,0),1)</f>
        <v>Total fresh surface-water withdrawals in agricultural land per AOI area (L/day)</v>
      </c>
      <c r="G311" s="32" t="s">
        <v>693</v>
      </c>
      <c r="H311" s="32" t="str">
        <f t="shared" si="9"/>
        <v>CBNF</v>
      </c>
      <c r="I311" s="32" t="str">
        <f>INDEX(Active!J:J, MATCH(Spearmans2!H311, Active!F:F,0),1)</f>
        <v>Cultivated Biological Nitrogen Fixation Mean Rate</v>
      </c>
      <c r="J311" s="32" t="str">
        <f>INDEX(Active!B:B, MATCH(Spearmans2!H311, Active!F:F,0),1)</f>
        <v>Anthropogenic</v>
      </c>
      <c r="K311" s="32" t="str">
        <f>INDEX(Active!K:K, MATCH(Spearmans2!H311, Active!F:F,0),1)</f>
        <v>Mean rate of biological nitrogen fixation from the cultivation of crops in kg N/ha/yr, within AOI</v>
      </c>
      <c r="L311" s="33">
        <v>0.95051879020286334</v>
      </c>
    </row>
    <row r="312" spans="1:12" s="34" customFormat="1" x14ac:dyDescent="0.3">
      <c r="A312" s="30" t="s">
        <v>756</v>
      </c>
      <c r="B312" s="31" t="str">
        <f t="shared" si="8"/>
        <v>WDRW_LD</v>
      </c>
      <c r="C312" s="31" t="str">
        <f>INDEX(Active!J:J, MATCH(Spearmans2!B312, Active!F:F,0),1)</f>
        <v>Agricultural Fresh Surface-Water Withdraw</v>
      </c>
      <c r="D312" s="31" t="str">
        <f>INDEX(Active!B:B, MATCH(Spearmans2!B312, Active!F:F,0),1)</f>
        <v>Anthropogenic</v>
      </c>
      <c r="E312" s="31" t="str">
        <f>INDEX(Active!D:D, MATCH(Spearmans2!B312, Active!F:F,0),1)</f>
        <v>Agriculture</v>
      </c>
      <c r="F312" s="31" t="str">
        <f>INDEX(Active!K:K, MATCH(Spearmans2!B312, Active!F:F,0),1)</f>
        <v>Total fresh surface-water withdrawals in agricultural land per AOI area (L/day)</v>
      </c>
      <c r="G312" s="32" t="s">
        <v>701</v>
      </c>
      <c r="H312" s="32" t="str">
        <f t="shared" si="9"/>
        <v>FERT</v>
      </c>
      <c r="I312" s="32" t="str">
        <f>INDEX(Active!J:J, MATCH(Spearmans2!H312, Active!F:F,0),1)</f>
        <v>Synthetic Nitrogen Fertilizer Application Mean Rate</v>
      </c>
      <c r="J312" s="32" t="str">
        <f>INDEX(Active!B:B, MATCH(Spearmans2!H312, Active!F:F,0),1)</f>
        <v>Anthropogenic</v>
      </c>
      <c r="K312" s="32" t="str">
        <f>INDEX(Active!K:K, MATCH(Spearmans2!H312, Active!F:F,0),1)</f>
        <v>Mean rate of synthetic nitrogen fertilizer application to agricultural land in kg N/ha/yr, within the AOI</v>
      </c>
      <c r="L312" s="33">
        <v>0.94748664700252017</v>
      </c>
    </row>
    <row r="313" spans="1:12" s="34" customFormat="1" x14ac:dyDescent="0.3">
      <c r="A313" s="30" t="s">
        <v>756</v>
      </c>
      <c r="B313" s="31" t="str">
        <f t="shared" si="8"/>
        <v>WDRW_LD</v>
      </c>
      <c r="C313" s="31" t="str">
        <f>INDEX(Active!J:J, MATCH(Spearmans2!B313, Active!F:F,0),1)</f>
        <v>Agricultural Fresh Surface-Water Withdraw</v>
      </c>
      <c r="D313" s="31" t="str">
        <f>INDEX(Active!B:B, MATCH(Spearmans2!B313, Active!F:F,0),1)</f>
        <v>Anthropogenic</v>
      </c>
      <c r="E313" s="31" t="str">
        <f>INDEX(Active!D:D, MATCH(Spearmans2!B313, Active!F:F,0),1)</f>
        <v>Agriculture</v>
      </c>
      <c r="F313" s="31" t="str">
        <f>INDEX(Active!K:K, MATCH(Spearmans2!B313, Active!F:F,0),1)</f>
        <v>Total fresh surface-water withdrawals in agricultural land per AOI area (L/day)</v>
      </c>
      <c r="G313" s="32" t="s">
        <v>705</v>
      </c>
      <c r="H313" s="32" t="str">
        <f t="shared" si="9"/>
        <v>MANURE</v>
      </c>
      <c r="I313" s="32" t="str">
        <f>INDEX(Active!J:J, MATCH(Spearmans2!H313, Active!F:F,0),1)</f>
        <v>Mean Manure Application Rate</v>
      </c>
      <c r="J313" s="32" t="str">
        <f>INDEX(Active!B:B, MATCH(Spearmans2!H313, Active!F:F,0),1)</f>
        <v>Anthropogenic</v>
      </c>
      <c r="K313" s="32" t="str">
        <f>INDEX(Active!K:K, MATCH(Spearmans2!H313, Active!F:F,0),1)</f>
        <v>Mean rate of manure application to agricultural land from confined animal feeding operations in kg N/ha/yr, within AOI</v>
      </c>
      <c r="L313" s="33">
        <v>0.83998874339203145</v>
      </c>
    </row>
    <row r="314" spans="1:12" s="39" customFormat="1" x14ac:dyDescent="0.3">
      <c r="A314" s="35" t="s">
        <v>756</v>
      </c>
      <c r="B314" s="36" t="str">
        <f t="shared" si="8"/>
        <v>WDRW_LD</v>
      </c>
      <c r="C314" s="36" t="str">
        <f>INDEX(Active!J:J, MATCH(Spearmans2!B314, Active!F:F,0),1)</f>
        <v>Agricultural Fresh Surface-Water Withdraw</v>
      </c>
      <c r="D314" s="36" t="str">
        <f>INDEX(Active!B:B, MATCH(Spearmans2!B314, Active!F:F,0),1)</f>
        <v>Anthropogenic</v>
      </c>
      <c r="E314" s="36" t="str">
        <f>INDEX(Active!D:D, MATCH(Spearmans2!B314, Active!F:F,0),1)</f>
        <v>Agriculture</v>
      </c>
      <c r="F314" s="36" t="str">
        <f>INDEX(Active!K:K, MATCH(Spearmans2!B314, Active!F:F,0),1)</f>
        <v>Total fresh surface-water withdrawals in agricultural land per AOI area (L/day)</v>
      </c>
      <c r="G314" s="37" t="s">
        <v>755</v>
      </c>
      <c r="H314" s="37" t="str">
        <f t="shared" si="9"/>
        <v>WATERINPUT</v>
      </c>
      <c r="I314" s="37" t="str">
        <f>INDEX(Active!J:J, MATCH(Spearmans2!H314, Active!F:F,0),1)</f>
        <v>Water Input</v>
      </c>
      <c r="J314" s="37" t="str">
        <f>INDEX(Active!B:B, MATCH(Spearmans2!H314, Active!F:F,0),1)</f>
        <v>Anthropogenic</v>
      </c>
      <c r="K314" s="37" t="str">
        <f>INDEX(Active!K:K, MATCH(Spearmans2!H314, Active!F:F,0),1)</f>
        <v>Water Input (km2/cm): Ratio of the total area of irrigated land to precipitation within AOI</v>
      </c>
      <c r="L314" s="38">
        <v>0.98063976541557085</v>
      </c>
    </row>
    <row r="315" spans="1:12" s="34" customFormat="1" x14ac:dyDescent="0.3">
      <c r="A315" s="30" t="s">
        <v>757</v>
      </c>
      <c r="B315" s="31" t="str">
        <f t="shared" si="8"/>
        <v>WETTEDWIDTH</v>
      </c>
      <c r="C315" s="31" t="str">
        <f>INDEX(Active!J:J, MATCH(Spearmans2!B315, Active!F:F,0),1)</f>
        <v>Predicted Wetted Width</v>
      </c>
      <c r="D315" s="31" t="str">
        <f>INDEX(Active!B:B, MATCH(Spearmans2!B315, Active!F:F,0),1)</f>
        <v>Natural</v>
      </c>
      <c r="E315" s="31" t="str">
        <f>INDEX(Active!D:D, MATCH(Spearmans2!B315, Active!F:F,0),1)</f>
        <v>Other</v>
      </c>
      <c r="F315" s="31" t="str">
        <f>INDEX(Active!K:K, MATCH(Spearmans2!B315, Active!F:F,0),1)</f>
        <v>Predicted wetted width: distance of the waters edge from left to right bank</v>
      </c>
      <c r="G315" s="32" t="s">
        <v>689</v>
      </c>
      <c r="H315" s="32" t="str">
        <f t="shared" si="9"/>
        <v>BANKFULLDEPTH</v>
      </c>
      <c r="I315" s="32" t="str">
        <f>INDEX(Active!J:J, MATCH(Spearmans2!H315, Active!F:F,0),1)</f>
        <v>Predicted Bankfull Depth</v>
      </c>
      <c r="J315" s="32" t="str">
        <f>INDEX(Active!B:B, MATCH(Spearmans2!H315, Active!F:F,0),1)</f>
        <v>Natural</v>
      </c>
      <c r="K315" s="32" t="str">
        <f>INDEX(Active!K:K, MATCH(Spearmans2!H315, Active!F:F,0),1)</f>
        <v>Predicted bankfull depth: thalweg depth plus bankfull height, which is the height from the water surface to the bankfull stage</v>
      </c>
      <c r="L315" s="33">
        <v>0.93279080492213351</v>
      </c>
    </row>
    <row r="316" spans="1:12" s="34" customFormat="1" x14ac:dyDescent="0.3">
      <c r="A316" s="30" t="s">
        <v>757</v>
      </c>
      <c r="B316" s="31" t="str">
        <f t="shared" si="8"/>
        <v>WETTEDWIDTH</v>
      </c>
      <c r="C316" s="31" t="str">
        <f>INDEX(Active!J:J, MATCH(Spearmans2!B316, Active!F:F,0),1)</f>
        <v>Predicted Wetted Width</v>
      </c>
      <c r="D316" s="31" t="str">
        <f>INDEX(Active!B:B, MATCH(Spearmans2!B316, Active!F:F,0),1)</f>
        <v>Natural</v>
      </c>
      <c r="E316" s="31" t="str">
        <f>INDEX(Active!D:D, MATCH(Spearmans2!B316, Active!F:F,0),1)</f>
        <v>Other</v>
      </c>
      <c r="F316" s="31" t="str">
        <f>INDEX(Active!K:K, MATCH(Spearmans2!B316, Active!F:F,0),1)</f>
        <v>Predicted wetted width: distance of the waters edge from left to right bank</v>
      </c>
      <c r="G316" s="32" t="s">
        <v>690</v>
      </c>
      <c r="H316" s="32" t="str">
        <f t="shared" si="9"/>
        <v>BANKFULLWIDTH</v>
      </c>
      <c r="I316" s="32" t="str">
        <f>INDEX(Active!J:J, MATCH(Spearmans2!H316, Active!F:F,0),1)</f>
        <v>Predicted Bankfull Width</v>
      </c>
      <c r="J316" s="32" t="str">
        <f>INDEX(Active!B:B, MATCH(Spearmans2!H316, Active!F:F,0),1)</f>
        <v>Natural</v>
      </c>
      <c r="K316" s="32" t="str">
        <f>INDEX(Active!K:K, MATCH(Spearmans2!H316, Active!F:F,0),1)</f>
        <v>Predicted bankfull width: distance from left to right bank at bankfull stage where the potential water height would spill outside of the channel and into the floodplain</v>
      </c>
      <c r="L316" s="33">
        <v>0.98929659301015338</v>
      </c>
    </row>
    <row r="317" spans="1:12" s="34" customFormat="1" x14ac:dyDescent="0.3">
      <c r="A317" s="30" t="s">
        <v>757</v>
      </c>
      <c r="B317" s="31" t="str">
        <f t="shared" si="8"/>
        <v>WETTEDWIDTH</v>
      </c>
      <c r="C317" s="31" t="str">
        <f>INDEX(Active!J:J, MATCH(Spearmans2!B317, Active!F:F,0),1)</f>
        <v>Predicted Wetted Width</v>
      </c>
      <c r="D317" s="31" t="str">
        <f>INDEX(Active!B:B, MATCH(Spearmans2!B317, Active!F:F,0),1)</f>
        <v>Natural</v>
      </c>
      <c r="E317" s="31" t="str">
        <f>INDEX(Active!D:D, MATCH(Spearmans2!B317, Active!F:F,0),1)</f>
        <v>Other</v>
      </c>
      <c r="F317" s="31" t="str">
        <f>INDEX(Active!K:K, MATCH(Spearmans2!B317, Active!F:F,0),1)</f>
        <v>Predicted wetted width: distance of the waters edge from left to right bank</v>
      </c>
      <c r="G317" s="32" t="s">
        <v>713</v>
      </c>
      <c r="H317" s="32" t="str">
        <f t="shared" si="9"/>
        <v>NANI</v>
      </c>
      <c r="I317" s="32" t="str">
        <f>INDEX(Active!J:J, MATCH(Spearmans2!H317, Active!F:F,0),1)</f>
        <v>Anthropogenic Nitrogen</v>
      </c>
      <c r="J317" s="32" t="str">
        <f>INDEX(Active!B:B, MATCH(Spearmans2!H317, Active!F:F,0),1)</f>
        <v>Anthropogenic</v>
      </c>
      <c r="K317" s="32" t="str">
        <f>INDEX(Active!K:K, MATCH(Spearmans2!H317, Active!F:F,0),1)</f>
        <v>Net Anthropogenic Nitrogen within AOI: farm fertilizer + urban fertilizer + NOx deposition + CBNF + Human and Livestock food - crop N content - livestock N content</v>
      </c>
      <c r="L317" s="33">
        <v>0.83176954946004689</v>
      </c>
    </row>
    <row r="318" spans="1:12" s="71" customFormat="1" x14ac:dyDescent="0.3">
      <c r="A318" s="30" t="s">
        <v>757</v>
      </c>
      <c r="B318" s="31" t="str">
        <f t="shared" si="8"/>
        <v>WETTEDWIDTH</v>
      </c>
      <c r="C318" s="31" t="str">
        <f>INDEX(Active!J:J, MATCH(Spearmans2!B318, Active!F:F,0),1)</f>
        <v>Predicted Wetted Width</v>
      </c>
      <c r="D318" s="31" t="str">
        <f>INDEX(Active!B:B, MATCH(Spearmans2!B318, Active!F:F,0),1)</f>
        <v>Natural</v>
      </c>
      <c r="E318" s="31" t="str">
        <f>INDEX(Active!D:D, MATCH(Spearmans2!B318, Active!F:F,0),1)</f>
        <v>Other</v>
      </c>
      <c r="F318" s="31" t="str">
        <f>INDEX(Active!K:K, MATCH(Spearmans2!B318, Active!F:F,0),1)</f>
        <v>Predicted wetted width: distance of the waters edge from left to right bank</v>
      </c>
      <c r="G318" s="32" t="s">
        <v>716</v>
      </c>
      <c r="H318" s="32" t="str">
        <f t="shared" si="9"/>
        <v>NSURP</v>
      </c>
      <c r="I318" s="32" t="str">
        <f>INDEX(Active!J:J, MATCH(Spearmans2!H318, Active!F:F,0),1)</f>
        <v>Nitrogen Surplus</v>
      </c>
      <c r="J318" s="32" t="str">
        <f>INDEX(Active!B:B, MATCH(Spearmans2!H318, Active!F:F,0),1)</f>
        <v>Anthropogenic</v>
      </c>
      <c r="K318" s="32" t="str">
        <f>INDEX(Active!K:K, MATCH(Spearmans2!H318, Active!F:F,0),1)</f>
        <v>Nitrogen Surplus (kg N / yr) per AOI - excluding biological N Fixation</v>
      </c>
      <c r="L318" s="70">
        <v>0.83735711194790285</v>
      </c>
    </row>
    <row r="319" spans="1:12" s="71" customFormat="1" x14ac:dyDescent="0.3">
      <c r="A319" s="30" t="s">
        <v>757</v>
      </c>
      <c r="B319" s="31" t="str">
        <f t="shared" si="8"/>
        <v>WETTEDWIDTH</v>
      </c>
      <c r="C319" s="31" t="str">
        <f>INDEX(Active!J:J, MATCH(Spearmans2!B319, Active!F:F,0),1)</f>
        <v>Predicted Wetted Width</v>
      </c>
      <c r="D319" s="31" t="str">
        <f>INDEX(Active!B:B, MATCH(Spearmans2!B319, Active!F:F,0),1)</f>
        <v>Natural</v>
      </c>
      <c r="E319" s="31" t="str">
        <f>INDEX(Active!D:D, MATCH(Spearmans2!B319, Active!F:F,0),1)</f>
        <v>Other</v>
      </c>
      <c r="F319" s="31" t="str">
        <f>INDEX(Active!K:K, MATCH(Spearmans2!B319, Active!F:F,0),1)</f>
        <v>Predicted wetted width: distance of the waters edge from left to right bank</v>
      </c>
      <c r="G319" s="32" t="s">
        <v>747</v>
      </c>
      <c r="H319" s="32" t="str">
        <f t="shared" si="9"/>
        <v>THALWEGDEPTH</v>
      </c>
      <c r="I319" s="32" t="e">
        <f>INDEX(Active!J:J, MATCH(Spearmans2!H319, Active!F:F,0),1)</f>
        <v>#N/A</v>
      </c>
      <c r="J319" s="32" t="e">
        <f>INDEX(Active!B:B, MATCH(Spearmans2!H319, Active!F:F,0),1)</f>
        <v>#N/A</v>
      </c>
      <c r="K319" s="32" t="e">
        <f>INDEX(Active!K:K, MATCH(Spearmans2!H319, Active!F:F,0),1)</f>
        <v>#N/A</v>
      </c>
      <c r="L319" s="70">
        <v>0.96441416258260582</v>
      </c>
    </row>
    <row r="320" spans="1:12" s="73" customFormat="1" x14ac:dyDescent="0.3">
      <c r="A320" s="52" t="s">
        <v>758</v>
      </c>
      <c r="B320" s="53" t="str">
        <f t="shared" ref="B320:B321" si="10">IF(RIGHT(A320,2)="WS", LEFT(A320,LEN(A320)-2),A320)</f>
        <v>WWTPALLDENS</v>
      </c>
      <c r="C320" s="53" t="str">
        <f>INDEX(Active!J:J, MATCH(Spearmans2!B320, Active!F:F,0),1)</f>
        <v>All Wastewater Treatment Density</v>
      </c>
      <c r="D320" s="53" t="str">
        <f>INDEX(Active!B:B, MATCH(Spearmans2!B320, Active!F:F,0),1)</f>
        <v>Anthropogenic</v>
      </c>
      <c r="E320" s="53" t="str">
        <f>INDEX(Active!D:D, MATCH(Spearmans2!B320, Active!F:F,0),1)</f>
        <v>Urban</v>
      </c>
      <c r="F320" s="53" t="str">
        <f>INDEX(Active!K:K, MATCH(Spearmans2!B320, Active!F:F,0),1)</f>
        <v>Density (number/ km2) of all wastewater treatment plants per AOI</v>
      </c>
      <c r="G320" s="54" t="s">
        <v>759</v>
      </c>
      <c r="H320" s="54" t="str">
        <f t="shared" ref="H320:H321" si="11">IF(RIGHT(G320,2)="WS", LEFT(G320,LEN(G320)-2),G320)</f>
        <v>WWTPMINORDENS</v>
      </c>
      <c r="I320" s="54" t="str">
        <f>INDEX(Active!J:J, MATCH(Spearmans2!H320, Active!F:F,0),1)</f>
        <v>Minor Wastewater Treatment Density</v>
      </c>
      <c r="J320" s="54" t="str">
        <f>INDEX(Active!B:B, MATCH(Spearmans2!H320, Active!F:F,0),1)</f>
        <v>Anthropogenic</v>
      </c>
      <c r="K320" s="54" t="str">
        <f>INDEX(Active!K:K, MATCH(Spearmans2!H320, Active!F:F,0),1)</f>
        <v>Density (number/ km2) of minor wastewater treatment plants per AOI</v>
      </c>
      <c r="L320" s="72">
        <v>0.99999700775738898</v>
      </c>
    </row>
    <row r="321" spans="1:12" s="71" customFormat="1" x14ac:dyDescent="0.3">
      <c r="A321" s="30" t="s">
        <v>759</v>
      </c>
      <c r="B321" s="31" t="str">
        <f t="shared" si="10"/>
        <v>WWTPMINORDENS</v>
      </c>
      <c r="C321" s="31" t="str">
        <f>INDEX(Active!J:J, MATCH(Spearmans2!B321, Active!F:F,0),1)</f>
        <v>Minor Wastewater Treatment Density</v>
      </c>
      <c r="D321" s="31" t="str">
        <f>INDEX(Active!B:B, MATCH(Spearmans2!B321, Active!F:F,0),1)</f>
        <v>Anthropogenic</v>
      </c>
      <c r="E321" s="31" t="str">
        <f>INDEX(Active!D:D, MATCH(Spearmans2!B321, Active!F:F,0),1)</f>
        <v>Urban</v>
      </c>
      <c r="F321" s="31" t="str">
        <f>INDEX(Active!K:K, MATCH(Spearmans2!B321, Active!F:F,0),1)</f>
        <v>Density (number/ km2) of minor wastewater treatment plants per AOI</v>
      </c>
      <c r="G321" s="32" t="s">
        <v>758</v>
      </c>
      <c r="H321" s="32" t="str">
        <f t="shared" si="11"/>
        <v>WWTPALLDENS</v>
      </c>
      <c r="I321" s="32" t="str">
        <f>INDEX(Active!J:J, MATCH(Spearmans2!H321, Active!F:F,0),1)</f>
        <v>All Wastewater Treatment Density</v>
      </c>
      <c r="J321" s="32" t="str">
        <f>INDEX(Active!B:B, MATCH(Spearmans2!H321, Active!F:F,0),1)</f>
        <v>Anthropogenic</v>
      </c>
      <c r="K321" s="32" t="str">
        <f>INDEX(Active!K:K, MATCH(Spearmans2!H321, Active!F:F,0),1)</f>
        <v>Density (number/ km2) of all wastewater treatment plants per AOI</v>
      </c>
      <c r="L321" s="70">
        <v>0.99999700775738898</v>
      </c>
    </row>
  </sheetData>
  <autoFilter ref="A1:L31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AC9-FA1D-4D1A-91F8-F15A33BEA6CC}">
  <sheetPr>
    <tabColor rgb="FF92D050"/>
  </sheetPr>
  <dimension ref="A1:N147"/>
  <sheetViews>
    <sheetView zoomScaleNormal="100" workbookViewId="0">
      <pane ySplit="1" topLeftCell="A2" activePane="bottomLeft" state="frozen"/>
      <selection pane="bottomLeft" activeCell="A110" sqref="A110"/>
    </sheetView>
  </sheetViews>
  <sheetFormatPr defaultRowHeight="14.4" x14ac:dyDescent="0.3"/>
  <cols>
    <col min="1" max="1" width="8.88671875" style="5"/>
    <col min="2" max="2" width="14.44140625" style="6" bestFit="1" customWidth="1"/>
    <col min="3" max="3" width="16.44140625" style="7" bestFit="1" customWidth="1"/>
    <col min="4" max="4" width="18" customWidth="1"/>
    <col min="5" max="5" width="24.33203125" customWidth="1"/>
    <col min="6" max="6" width="22" bestFit="1" customWidth="1"/>
    <col min="7" max="7" width="22" customWidth="1"/>
    <col min="8" max="8" width="12" customWidth="1"/>
    <col min="9" max="9" width="7.5546875" customWidth="1"/>
    <col min="10" max="10" width="44.109375" customWidth="1"/>
    <col min="11" max="11" width="49.88671875" customWidth="1"/>
    <col min="12" max="12" width="7.44140625" customWidth="1"/>
    <col min="14" max="14" width="35.44140625" bestFit="1" customWidth="1"/>
  </cols>
  <sheetData>
    <row r="1" spans="1:14" s="1" customFormat="1" ht="31.35" customHeight="1" x14ac:dyDescent="0.3">
      <c r="A1" s="1" t="s">
        <v>5</v>
      </c>
      <c r="B1" s="2" t="s">
        <v>6</v>
      </c>
      <c r="C1" s="3" t="s">
        <v>7</v>
      </c>
      <c r="D1" s="1" t="s">
        <v>8</v>
      </c>
      <c r="E1" s="1" t="s">
        <v>9</v>
      </c>
      <c r="F1" s="4" t="s">
        <v>10</v>
      </c>
      <c r="G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</row>
    <row r="2" spans="1:14" x14ac:dyDescent="0.3">
      <c r="A2" s="5" t="s">
        <v>19</v>
      </c>
      <c r="B2" s="6" t="s">
        <v>20</v>
      </c>
      <c r="C2" s="7" t="s">
        <v>21</v>
      </c>
      <c r="D2" t="s">
        <v>22</v>
      </c>
      <c r="E2" t="s">
        <v>23</v>
      </c>
      <c r="F2" s="8" t="s">
        <v>24</v>
      </c>
      <c r="H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</row>
    <row r="3" spans="1:14" x14ac:dyDescent="0.3">
      <c r="A3" s="5" t="s">
        <v>19</v>
      </c>
      <c r="B3" s="6" t="s">
        <v>31</v>
      </c>
      <c r="C3" s="7" t="s">
        <v>31</v>
      </c>
      <c r="D3" t="s">
        <v>32</v>
      </c>
      <c r="E3" t="s">
        <v>33</v>
      </c>
      <c r="F3" s="8" t="s">
        <v>34</v>
      </c>
      <c r="H3" t="s">
        <v>25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3">
      <c r="A4" s="5" t="s">
        <v>40</v>
      </c>
      <c r="B4" s="6" t="s">
        <v>41</v>
      </c>
      <c r="C4" s="7" t="s">
        <v>41</v>
      </c>
      <c r="D4" t="s">
        <v>42</v>
      </c>
      <c r="E4" t="s">
        <v>43</v>
      </c>
      <c r="F4" s="9" t="s">
        <v>44</v>
      </c>
      <c r="G4" s="10"/>
      <c r="H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 spans="1:14" x14ac:dyDescent="0.3">
      <c r="A5" s="5" t="s">
        <v>19</v>
      </c>
      <c r="B5" s="6" t="s">
        <v>31</v>
      </c>
      <c r="C5" s="7" t="s">
        <v>31</v>
      </c>
      <c r="D5" t="s">
        <v>51</v>
      </c>
      <c r="E5" t="s">
        <v>52</v>
      </c>
      <c r="F5" s="8" t="s">
        <v>52</v>
      </c>
      <c r="H5" t="s">
        <v>51</v>
      </c>
      <c r="J5" t="s">
        <v>53</v>
      </c>
      <c r="K5" t="s">
        <v>54</v>
      </c>
      <c r="L5" t="s">
        <v>55</v>
      </c>
      <c r="M5" t="s">
        <v>56</v>
      </c>
      <c r="N5" t="s">
        <v>57</v>
      </c>
    </row>
    <row r="6" spans="1:14" x14ac:dyDescent="0.3">
      <c r="A6" s="5" t="s">
        <v>19</v>
      </c>
      <c r="B6" s="6" t="s">
        <v>31</v>
      </c>
      <c r="C6" s="7" t="s">
        <v>31</v>
      </c>
      <c r="D6" t="s">
        <v>51</v>
      </c>
      <c r="E6" t="s">
        <v>58</v>
      </c>
      <c r="F6" s="8" t="s">
        <v>58</v>
      </c>
      <c r="H6" t="s">
        <v>51</v>
      </c>
      <c r="J6" t="s">
        <v>59</v>
      </c>
      <c r="K6" t="s">
        <v>60</v>
      </c>
      <c r="L6" t="s">
        <v>55</v>
      </c>
      <c r="M6" t="s">
        <v>56</v>
      </c>
      <c r="N6" t="s">
        <v>57</v>
      </c>
    </row>
    <row r="7" spans="1:14" x14ac:dyDescent="0.3">
      <c r="A7" s="5" t="s">
        <v>19</v>
      </c>
      <c r="B7" s="6" t="s">
        <v>31</v>
      </c>
      <c r="C7" s="7" t="s">
        <v>61</v>
      </c>
      <c r="D7" t="s">
        <v>62</v>
      </c>
      <c r="E7" t="s">
        <v>63</v>
      </c>
      <c r="F7" s="8" t="s">
        <v>64</v>
      </c>
      <c r="H7" t="s">
        <v>25</v>
      </c>
      <c r="J7" t="s">
        <v>65</v>
      </c>
      <c r="K7" t="s">
        <v>66</v>
      </c>
      <c r="L7" t="s">
        <v>37</v>
      </c>
      <c r="M7" t="s">
        <v>67</v>
      </c>
      <c r="N7" t="s">
        <v>65</v>
      </c>
    </row>
    <row r="8" spans="1:14" x14ac:dyDescent="0.3">
      <c r="A8" s="5" t="s">
        <v>19</v>
      </c>
      <c r="B8" s="6" t="s">
        <v>20</v>
      </c>
      <c r="C8" s="7" t="s">
        <v>20</v>
      </c>
      <c r="D8" t="s">
        <v>22</v>
      </c>
      <c r="E8" t="s">
        <v>68</v>
      </c>
      <c r="F8" s="8" t="s">
        <v>69</v>
      </c>
      <c r="H8" t="s">
        <v>25</v>
      </c>
      <c r="J8" t="s">
        <v>70</v>
      </c>
      <c r="K8" t="s">
        <v>71</v>
      </c>
      <c r="L8" t="s">
        <v>72</v>
      </c>
      <c r="M8" t="s">
        <v>73</v>
      </c>
      <c r="N8" t="s">
        <v>70</v>
      </c>
    </row>
    <row r="9" spans="1:14" x14ac:dyDescent="0.3">
      <c r="A9" s="5" t="s">
        <v>19</v>
      </c>
      <c r="B9" s="6" t="s">
        <v>31</v>
      </c>
      <c r="C9" s="7" t="s">
        <v>31</v>
      </c>
      <c r="D9" t="s">
        <v>32</v>
      </c>
      <c r="E9" t="s">
        <v>74</v>
      </c>
      <c r="F9" s="8" t="s">
        <v>75</v>
      </c>
      <c r="H9" t="s">
        <v>25</v>
      </c>
      <c r="J9" t="s">
        <v>76</v>
      </c>
      <c r="K9" t="s">
        <v>77</v>
      </c>
      <c r="L9" t="s">
        <v>37</v>
      </c>
      <c r="M9" t="s">
        <v>38</v>
      </c>
      <c r="N9" t="s">
        <v>39</v>
      </c>
    </row>
    <row r="10" spans="1:14" x14ac:dyDescent="0.3">
      <c r="A10" s="5" t="s">
        <v>40</v>
      </c>
      <c r="B10" s="6" t="s">
        <v>41</v>
      </c>
      <c r="C10" s="7" t="s">
        <v>41</v>
      </c>
      <c r="D10" t="s">
        <v>42</v>
      </c>
      <c r="E10" t="s">
        <v>78</v>
      </c>
      <c r="F10" s="8" t="s">
        <v>79</v>
      </c>
      <c r="H10" t="s">
        <v>80</v>
      </c>
      <c r="J10" t="s">
        <v>81</v>
      </c>
      <c r="K10" t="s">
        <v>82</v>
      </c>
      <c r="L10" t="s">
        <v>48</v>
      </c>
      <c r="M10" t="s">
        <v>49</v>
      </c>
      <c r="N10" t="s">
        <v>50</v>
      </c>
    </row>
    <row r="11" spans="1:14" x14ac:dyDescent="0.3">
      <c r="A11" s="5" t="s">
        <v>40</v>
      </c>
      <c r="B11" s="6" t="s">
        <v>41</v>
      </c>
      <c r="C11" s="7" t="s">
        <v>41</v>
      </c>
      <c r="D11" t="s">
        <v>42</v>
      </c>
      <c r="E11" t="s">
        <v>83</v>
      </c>
      <c r="F11" s="9" t="s">
        <v>84</v>
      </c>
      <c r="G11" s="10"/>
      <c r="H11" t="s">
        <v>85</v>
      </c>
      <c r="J11" t="s">
        <v>86</v>
      </c>
      <c r="K11" t="s">
        <v>87</v>
      </c>
      <c r="L11" t="s">
        <v>48</v>
      </c>
      <c r="M11" t="s">
        <v>49</v>
      </c>
      <c r="N11" t="s">
        <v>88</v>
      </c>
    </row>
    <row r="12" spans="1:14" x14ac:dyDescent="0.3">
      <c r="A12" s="5" t="s">
        <v>40</v>
      </c>
      <c r="B12" s="6" t="s">
        <v>41</v>
      </c>
      <c r="C12" s="7" t="s">
        <v>41</v>
      </c>
      <c r="D12" t="s">
        <v>42</v>
      </c>
      <c r="E12" t="s">
        <v>89</v>
      </c>
      <c r="F12" s="8" t="s">
        <v>90</v>
      </c>
      <c r="H12" t="s">
        <v>85</v>
      </c>
      <c r="J12" t="s">
        <v>91</v>
      </c>
      <c r="K12" t="s">
        <v>92</v>
      </c>
      <c r="L12" t="s">
        <v>37</v>
      </c>
      <c r="M12" t="s">
        <v>49</v>
      </c>
      <c r="N12" t="s">
        <v>50</v>
      </c>
    </row>
    <row r="13" spans="1:14" x14ac:dyDescent="0.3">
      <c r="A13" s="5" t="s">
        <v>19</v>
      </c>
      <c r="B13" s="6" t="s">
        <v>20</v>
      </c>
      <c r="C13" s="7" t="s">
        <v>93</v>
      </c>
      <c r="D13" t="s">
        <v>22</v>
      </c>
      <c r="E13" t="s">
        <v>94</v>
      </c>
      <c r="F13" s="8" t="s">
        <v>95</v>
      </c>
      <c r="H13" t="s">
        <v>25</v>
      </c>
      <c r="J13" t="s">
        <v>96</v>
      </c>
      <c r="K13" t="s">
        <v>97</v>
      </c>
      <c r="L13" t="s">
        <v>98</v>
      </c>
      <c r="M13" t="s">
        <v>99</v>
      </c>
      <c r="N13" t="s">
        <v>100</v>
      </c>
    </row>
    <row r="14" spans="1:14" x14ac:dyDescent="0.3">
      <c r="A14" s="5" t="s">
        <v>19</v>
      </c>
      <c r="B14" s="6" t="s">
        <v>20</v>
      </c>
      <c r="C14" s="7" t="s">
        <v>20</v>
      </c>
      <c r="D14" t="s">
        <v>4</v>
      </c>
      <c r="E14" t="s">
        <v>101</v>
      </c>
      <c r="F14" s="8" t="s">
        <v>102</v>
      </c>
      <c r="H14" t="s">
        <v>25</v>
      </c>
      <c r="J14" t="s">
        <v>103</v>
      </c>
      <c r="K14" t="s">
        <v>104</v>
      </c>
      <c r="L14" t="s">
        <v>28</v>
      </c>
      <c r="M14" t="s">
        <v>105</v>
      </c>
      <c r="N14" t="s">
        <v>106</v>
      </c>
    </row>
    <row r="15" spans="1:14" ht="16.350000000000001" customHeight="1" x14ac:dyDescent="0.3">
      <c r="A15" s="5" t="s">
        <v>19</v>
      </c>
      <c r="B15" s="6" t="s">
        <v>31</v>
      </c>
      <c r="C15" s="7" t="s">
        <v>21</v>
      </c>
      <c r="D15" t="s">
        <v>32</v>
      </c>
      <c r="E15" t="s">
        <v>107</v>
      </c>
      <c r="F15" s="8" t="s">
        <v>108</v>
      </c>
      <c r="H15" t="s">
        <v>25</v>
      </c>
      <c r="J15" t="s">
        <v>109</v>
      </c>
      <c r="K15" t="s">
        <v>110</v>
      </c>
      <c r="L15" t="s">
        <v>37</v>
      </c>
      <c r="M15" t="s">
        <v>111</v>
      </c>
      <c r="N15" t="s">
        <v>30</v>
      </c>
    </row>
    <row r="16" spans="1:14" x14ac:dyDescent="0.3">
      <c r="A16" s="5" t="s">
        <v>19</v>
      </c>
      <c r="B16" s="6" t="s">
        <v>20</v>
      </c>
      <c r="C16" s="7" t="s">
        <v>20</v>
      </c>
      <c r="D16" t="s">
        <v>112</v>
      </c>
      <c r="E16" t="s">
        <v>113</v>
      </c>
      <c r="F16" s="8" t="s">
        <v>114</v>
      </c>
      <c r="H16" t="s">
        <v>25</v>
      </c>
      <c r="J16" t="s">
        <v>115</v>
      </c>
      <c r="K16" t="s">
        <v>116</v>
      </c>
      <c r="L16" t="s">
        <v>117</v>
      </c>
      <c r="M16" t="s">
        <v>118</v>
      </c>
      <c r="N16" t="s">
        <v>119</v>
      </c>
    </row>
    <row r="17" spans="1:14" x14ac:dyDescent="0.3">
      <c r="A17" s="5" t="s">
        <v>19</v>
      </c>
      <c r="B17" s="6" t="s">
        <v>31</v>
      </c>
      <c r="C17" s="7" t="s">
        <v>31</v>
      </c>
      <c r="D17" t="s">
        <v>32</v>
      </c>
      <c r="E17" t="s">
        <v>120</v>
      </c>
      <c r="F17" s="8" t="s">
        <v>121</v>
      </c>
      <c r="H17" t="s">
        <v>25</v>
      </c>
      <c r="J17" t="s">
        <v>122</v>
      </c>
      <c r="K17" t="s">
        <v>123</v>
      </c>
      <c r="L17" t="s">
        <v>37</v>
      </c>
      <c r="M17" t="s">
        <v>38</v>
      </c>
      <c r="N17" t="s">
        <v>39</v>
      </c>
    </row>
    <row r="18" spans="1:14" x14ac:dyDescent="0.3">
      <c r="A18" s="5" t="s">
        <v>19</v>
      </c>
      <c r="B18" s="6" t="s">
        <v>20</v>
      </c>
      <c r="C18" s="7" t="s">
        <v>20</v>
      </c>
      <c r="D18" t="s">
        <v>4</v>
      </c>
      <c r="E18" t="s">
        <v>124</v>
      </c>
      <c r="F18" s="8" t="s">
        <v>125</v>
      </c>
      <c r="H18" t="s">
        <v>25</v>
      </c>
      <c r="J18" t="s">
        <v>126</v>
      </c>
      <c r="K18" t="s">
        <v>127</v>
      </c>
      <c r="L18" t="s">
        <v>28</v>
      </c>
      <c r="M18" t="s">
        <v>105</v>
      </c>
      <c r="N18" t="s">
        <v>106</v>
      </c>
    </row>
    <row r="19" spans="1:14" x14ac:dyDescent="0.3">
      <c r="A19" s="5" t="s">
        <v>19</v>
      </c>
      <c r="B19" s="6" t="s">
        <v>20</v>
      </c>
      <c r="C19" s="7" t="s">
        <v>20</v>
      </c>
      <c r="D19" t="s">
        <v>128</v>
      </c>
      <c r="E19" t="s">
        <v>129</v>
      </c>
      <c r="F19" s="8" t="s">
        <v>130</v>
      </c>
      <c r="H19" t="s">
        <v>25</v>
      </c>
      <c r="J19" t="s">
        <v>131</v>
      </c>
      <c r="K19" t="s">
        <v>132</v>
      </c>
      <c r="L19" t="s">
        <v>117</v>
      </c>
      <c r="M19" t="s">
        <v>133</v>
      </c>
      <c r="N19" t="s">
        <v>128</v>
      </c>
    </row>
    <row r="20" spans="1:14" x14ac:dyDescent="0.3">
      <c r="A20" s="5" t="s">
        <v>19</v>
      </c>
      <c r="B20" s="6" t="s">
        <v>20</v>
      </c>
      <c r="C20" s="7" t="s">
        <v>20</v>
      </c>
      <c r="D20" t="s">
        <v>128</v>
      </c>
      <c r="E20" t="s">
        <v>134</v>
      </c>
      <c r="F20" s="8" t="s">
        <v>135</v>
      </c>
      <c r="H20" t="s">
        <v>25</v>
      </c>
      <c r="J20" t="s">
        <v>136</v>
      </c>
      <c r="K20" t="s">
        <v>137</v>
      </c>
      <c r="L20" t="s">
        <v>138</v>
      </c>
      <c r="M20" t="s">
        <v>133</v>
      </c>
      <c r="N20" t="s">
        <v>128</v>
      </c>
    </row>
    <row r="21" spans="1:14" x14ac:dyDescent="0.3">
      <c r="A21" s="5" t="s">
        <v>19</v>
      </c>
      <c r="B21" s="6" t="s">
        <v>20</v>
      </c>
      <c r="C21" s="7" t="s">
        <v>20</v>
      </c>
      <c r="D21" t="s">
        <v>128</v>
      </c>
      <c r="E21" t="s">
        <v>139</v>
      </c>
      <c r="F21" s="8" t="s">
        <v>140</v>
      </c>
      <c r="H21" t="s">
        <v>25</v>
      </c>
      <c r="J21" t="s">
        <v>141</v>
      </c>
      <c r="K21" t="s">
        <v>142</v>
      </c>
      <c r="L21" t="s">
        <v>138</v>
      </c>
      <c r="M21" t="s">
        <v>133</v>
      </c>
      <c r="N21" t="s">
        <v>128</v>
      </c>
    </row>
    <row r="22" spans="1:14" x14ac:dyDescent="0.3">
      <c r="A22" s="5" t="s">
        <v>19</v>
      </c>
      <c r="B22" s="6" t="s">
        <v>31</v>
      </c>
      <c r="C22" s="7" t="s">
        <v>31</v>
      </c>
      <c r="D22" t="s">
        <v>62</v>
      </c>
      <c r="E22" t="s">
        <v>143</v>
      </c>
      <c r="F22" s="8" t="s">
        <v>144</v>
      </c>
      <c r="H22" t="s">
        <v>25</v>
      </c>
      <c r="J22" t="s">
        <v>145</v>
      </c>
      <c r="K22" t="s">
        <v>146</v>
      </c>
      <c r="L22" t="s">
        <v>55</v>
      </c>
      <c r="M22" t="s">
        <v>49</v>
      </c>
      <c r="N22" t="s">
        <v>147</v>
      </c>
    </row>
    <row r="23" spans="1:14" x14ac:dyDescent="0.3">
      <c r="A23" s="5" t="s">
        <v>19</v>
      </c>
      <c r="B23" s="6" t="s">
        <v>31</v>
      </c>
      <c r="C23" s="7" t="s">
        <v>31</v>
      </c>
      <c r="D23" t="s">
        <v>32</v>
      </c>
      <c r="E23" t="s">
        <v>148</v>
      </c>
      <c r="F23" s="8" t="s">
        <v>149</v>
      </c>
      <c r="H23" t="s">
        <v>25</v>
      </c>
      <c r="J23" t="s">
        <v>150</v>
      </c>
      <c r="K23" t="s">
        <v>151</v>
      </c>
      <c r="L23" t="s">
        <v>37</v>
      </c>
      <c r="M23" t="s">
        <v>38</v>
      </c>
      <c r="N23" t="s">
        <v>39</v>
      </c>
    </row>
    <row r="24" spans="1:14" x14ac:dyDescent="0.3">
      <c r="A24" s="5" t="s">
        <v>19</v>
      </c>
      <c r="B24" s="6" t="s">
        <v>20</v>
      </c>
      <c r="C24" s="7" t="s">
        <v>93</v>
      </c>
      <c r="D24" t="s">
        <v>22</v>
      </c>
      <c r="E24" t="s">
        <v>152</v>
      </c>
      <c r="F24" s="8" t="s">
        <v>153</v>
      </c>
      <c r="H24" t="s">
        <v>25</v>
      </c>
      <c r="J24" t="s">
        <v>154</v>
      </c>
      <c r="K24" t="s">
        <v>155</v>
      </c>
      <c r="L24" t="s">
        <v>98</v>
      </c>
      <c r="M24" t="s">
        <v>99</v>
      </c>
      <c r="N24" t="s">
        <v>100</v>
      </c>
    </row>
    <row r="25" spans="1:14" x14ac:dyDescent="0.3">
      <c r="A25" s="5" t="s">
        <v>19</v>
      </c>
      <c r="B25" s="6" t="s">
        <v>20</v>
      </c>
      <c r="C25" s="7" t="s">
        <v>20</v>
      </c>
      <c r="D25" t="s">
        <v>4</v>
      </c>
      <c r="E25" t="s">
        <v>156</v>
      </c>
      <c r="F25" s="8" t="s">
        <v>157</v>
      </c>
      <c r="H25" t="s">
        <v>25</v>
      </c>
      <c r="J25" t="s">
        <v>158</v>
      </c>
      <c r="K25" t="s">
        <v>159</v>
      </c>
      <c r="L25" t="s">
        <v>28</v>
      </c>
      <c r="M25" t="s">
        <v>105</v>
      </c>
      <c r="N25" t="s">
        <v>106</v>
      </c>
    </row>
    <row r="26" spans="1:14" x14ac:dyDescent="0.3">
      <c r="A26" s="5" t="s">
        <v>19</v>
      </c>
      <c r="B26" s="6" t="s">
        <v>20</v>
      </c>
      <c r="C26" s="7" t="s">
        <v>20</v>
      </c>
      <c r="D26" t="s">
        <v>160</v>
      </c>
      <c r="E26" t="s">
        <v>161</v>
      </c>
      <c r="F26" s="8" t="s">
        <v>162</v>
      </c>
      <c r="H26" t="s">
        <v>163</v>
      </c>
      <c r="I26" t="s">
        <v>164</v>
      </c>
      <c r="J26" t="s">
        <v>165</v>
      </c>
      <c r="K26" t="s">
        <v>166</v>
      </c>
      <c r="L26" t="s">
        <v>117</v>
      </c>
      <c r="M26" t="s">
        <v>167</v>
      </c>
      <c r="N26" t="s">
        <v>168</v>
      </c>
    </row>
    <row r="27" spans="1:14" x14ac:dyDescent="0.3">
      <c r="A27" s="5" t="s">
        <v>19</v>
      </c>
      <c r="B27" s="6" t="s">
        <v>20</v>
      </c>
      <c r="C27" s="7" t="s">
        <v>20</v>
      </c>
      <c r="D27" t="s">
        <v>4</v>
      </c>
      <c r="E27" t="s">
        <v>169</v>
      </c>
      <c r="F27" s="8" t="s">
        <v>170</v>
      </c>
      <c r="H27" t="s">
        <v>25</v>
      </c>
      <c r="J27" t="s">
        <v>171</v>
      </c>
      <c r="K27" t="s">
        <v>172</v>
      </c>
      <c r="L27" t="s">
        <v>28</v>
      </c>
      <c r="M27" t="s">
        <v>173</v>
      </c>
      <c r="N27" t="s">
        <v>106</v>
      </c>
    </row>
    <row r="28" spans="1:14" x14ac:dyDescent="0.3">
      <c r="A28" s="5" t="s">
        <v>19</v>
      </c>
      <c r="B28" s="6" t="s">
        <v>31</v>
      </c>
      <c r="C28" s="7" t="s">
        <v>31</v>
      </c>
      <c r="D28" t="s">
        <v>32</v>
      </c>
      <c r="E28" t="s">
        <v>174</v>
      </c>
      <c r="F28" s="8" t="s">
        <v>175</v>
      </c>
      <c r="H28" t="s">
        <v>25</v>
      </c>
      <c r="J28" t="s">
        <v>176</v>
      </c>
      <c r="K28" t="s">
        <v>177</v>
      </c>
      <c r="L28" t="s">
        <v>37</v>
      </c>
      <c r="M28" t="s">
        <v>38</v>
      </c>
      <c r="N28" t="s">
        <v>39</v>
      </c>
    </row>
    <row r="29" spans="1:14" x14ac:dyDescent="0.3">
      <c r="A29" s="5" t="s">
        <v>19</v>
      </c>
      <c r="B29" s="6" t="s">
        <v>20</v>
      </c>
      <c r="C29" s="7" t="s">
        <v>20</v>
      </c>
      <c r="D29" t="s">
        <v>51</v>
      </c>
      <c r="E29" t="s">
        <v>178</v>
      </c>
      <c r="F29" s="8" t="s">
        <v>179</v>
      </c>
      <c r="H29" t="s">
        <v>51</v>
      </c>
      <c r="J29" t="s">
        <v>3</v>
      </c>
      <c r="K29" t="s">
        <v>180</v>
      </c>
      <c r="L29" t="s">
        <v>28</v>
      </c>
      <c r="M29" t="s">
        <v>105</v>
      </c>
      <c r="N29" t="s">
        <v>106</v>
      </c>
    </row>
    <row r="30" spans="1:14" x14ac:dyDescent="0.3">
      <c r="A30" s="5" t="s">
        <v>19</v>
      </c>
      <c r="B30" s="6" t="s">
        <v>31</v>
      </c>
      <c r="C30" s="7" t="s">
        <v>181</v>
      </c>
      <c r="D30" t="s">
        <v>61</v>
      </c>
      <c r="E30" t="s">
        <v>182</v>
      </c>
      <c r="F30" s="8" t="s">
        <v>183</v>
      </c>
      <c r="H30" t="s">
        <v>25</v>
      </c>
      <c r="I30" t="s">
        <v>184</v>
      </c>
      <c r="J30" t="s">
        <v>185</v>
      </c>
      <c r="K30" t="s">
        <v>186</v>
      </c>
      <c r="L30" t="s">
        <v>187</v>
      </c>
      <c r="M30" t="s">
        <v>188</v>
      </c>
      <c r="N30" t="s">
        <v>188</v>
      </c>
    </row>
    <row r="31" spans="1:14" x14ac:dyDescent="0.3">
      <c r="A31" s="5" t="s">
        <v>40</v>
      </c>
      <c r="B31" s="6" t="s">
        <v>41</v>
      </c>
      <c r="C31" s="7" t="s">
        <v>41</v>
      </c>
      <c r="D31" t="s">
        <v>42</v>
      </c>
      <c r="E31" t="s">
        <v>189</v>
      </c>
      <c r="F31" s="9" t="s">
        <v>189</v>
      </c>
      <c r="G31" s="10"/>
      <c r="H31" t="s">
        <v>80</v>
      </c>
      <c r="K31" t="s">
        <v>190</v>
      </c>
      <c r="L31" t="s">
        <v>191</v>
      </c>
      <c r="N31" t="s">
        <v>50</v>
      </c>
    </row>
    <row r="32" spans="1:14" x14ac:dyDescent="0.3">
      <c r="A32" s="5" t="s">
        <v>19</v>
      </c>
      <c r="B32" s="6" t="s">
        <v>20</v>
      </c>
      <c r="C32" s="7" t="s">
        <v>20</v>
      </c>
      <c r="D32" t="s">
        <v>51</v>
      </c>
      <c r="E32" t="s">
        <v>192</v>
      </c>
      <c r="F32" s="8" t="s">
        <v>193</v>
      </c>
      <c r="H32" t="s">
        <v>51</v>
      </c>
      <c r="J32" t="s">
        <v>4</v>
      </c>
      <c r="K32" t="s">
        <v>180</v>
      </c>
      <c r="L32" t="s">
        <v>28</v>
      </c>
      <c r="M32" t="s">
        <v>105</v>
      </c>
      <c r="N32" t="s">
        <v>106</v>
      </c>
    </row>
    <row r="33" spans="1:14" x14ac:dyDescent="0.3">
      <c r="A33" s="5" t="s">
        <v>19</v>
      </c>
      <c r="B33" s="6" t="s">
        <v>31</v>
      </c>
      <c r="C33" s="7" t="s">
        <v>31</v>
      </c>
      <c r="D33" t="s">
        <v>32</v>
      </c>
      <c r="E33" t="s">
        <v>194</v>
      </c>
      <c r="F33" s="8" t="s">
        <v>195</v>
      </c>
      <c r="H33" t="s">
        <v>25</v>
      </c>
      <c r="J33" t="s">
        <v>196</v>
      </c>
      <c r="K33" t="s">
        <v>197</v>
      </c>
      <c r="L33" t="s">
        <v>37</v>
      </c>
      <c r="M33" t="s">
        <v>38</v>
      </c>
      <c r="N33" t="s">
        <v>39</v>
      </c>
    </row>
    <row r="34" spans="1:14" x14ac:dyDescent="0.3">
      <c r="A34" s="5" t="s">
        <v>19</v>
      </c>
      <c r="B34" s="6" t="s">
        <v>31</v>
      </c>
      <c r="C34" s="7" t="s">
        <v>21</v>
      </c>
      <c r="D34" t="s">
        <v>32</v>
      </c>
      <c r="E34" t="s">
        <v>198</v>
      </c>
      <c r="F34" s="8" t="s">
        <v>199</v>
      </c>
      <c r="H34" t="s">
        <v>25</v>
      </c>
      <c r="J34" t="s">
        <v>200</v>
      </c>
      <c r="K34" t="s">
        <v>201</v>
      </c>
      <c r="L34" t="s">
        <v>28</v>
      </c>
      <c r="M34" t="s">
        <v>29</v>
      </c>
      <c r="N34" t="s">
        <v>30</v>
      </c>
    </row>
    <row r="35" spans="1:14" x14ac:dyDescent="0.3">
      <c r="A35" s="5" t="s">
        <v>19</v>
      </c>
      <c r="B35" s="6" t="s">
        <v>20</v>
      </c>
      <c r="C35" s="7" t="s">
        <v>93</v>
      </c>
      <c r="D35" t="s">
        <v>22</v>
      </c>
      <c r="E35" t="s">
        <v>202</v>
      </c>
      <c r="F35" s="8" t="s">
        <v>203</v>
      </c>
      <c r="H35" t="s">
        <v>25</v>
      </c>
      <c r="J35" t="s">
        <v>204</v>
      </c>
      <c r="K35" t="s">
        <v>205</v>
      </c>
      <c r="L35" t="s">
        <v>187</v>
      </c>
      <c r="M35" t="s">
        <v>99</v>
      </c>
      <c r="N35" t="s">
        <v>100</v>
      </c>
    </row>
    <row r="36" spans="1:14" x14ac:dyDescent="0.3">
      <c r="A36" s="5" t="s">
        <v>19</v>
      </c>
      <c r="B36" s="6" t="s">
        <v>31</v>
      </c>
      <c r="C36" s="7" t="s">
        <v>31</v>
      </c>
      <c r="D36" t="s">
        <v>51</v>
      </c>
      <c r="E36" t="s">
        <v>206</v>
      </c>
      <c r="F36" s="8" t="s">
        <v>207</v>
      </c>
      <c r="H36" t="s">
        <v>51</v>
      </c>
      <c r="I36" t="s">
        <v>208</v>
      </c>
      <c r="J36" t="s">
        <v>209</v>
      </c>
      <c r="K36" t="s">
        <v>210</v>
      </c>
      <c r="L36" t="s">
        <v>211</v>
      </c>
      <c r="M36" t="s">
        <v>212</v>
      </c>
      <c r="N36" t="s">
        <v>213</v>
      </c>
    </row>
    <row r="37" spans="1:14" x14ac:dyDescent="0.3">
      <c r="A37" s="5" t="s">
        <v>19</v>
      </c>
      <c r="B37" s="6" t="s">
        <v>31</v>
      </c>
      <c r="C37" s="7" t="s">
        <v>31</v>
      </c>
      <c r="D37" t="s">
        <v>32</v>
      </c>
      <c r="E37" t="s">
        <v>214</v>
      </c>
      <c r="F37" s="8" t="s">
        <v>215</v>
      </c>
      <c r="H37" t="s">
        <v>25</v>
      </c>
      <c r="J37" t="s">
        <v>216</v>
      </c>
      <c r="K37" t="s">
        <v>217</v>
      </c>
      <c r="L37" t="s">
        <v>37</v>
      </c>
      <c r="M37" t="s">
        <v>38</v>
      </c>
      <c r="N37" t="s">
        <v>39</v>
      </c>
    </row>
    <row r="38" spans="1:14" x14ac:dyDescent="0.3">
      <c r="A38" s="5" t="s">
        <v>19</v>
      </c>
      <c r="B38" s="6" t="s">
        <v>20</v>
      </c>
      <c r="C38" s="7" t="s">
        <v>20</v>
      </c>
      <c r="D38" t="s">
        <v>112</v>
      </c>
      <c r="E38" t="s">
        <v>218</v>
      </c>
      <c r="F38" s="8" t="s">
        <v>219</v>
      </c>
      <c r="H38" t="s">
        <v>163</v>
      </c>
      <c r="J38" t="s">
        <v>220</v>
      </c>
      <c r="K38" t="s">
        <v>221</v>
      </c>
      <c r="L38" t="s">
        <v>117</v>
      </c>
      <c r="M38" t="s">
        <v>222</v>
      </c>
      <c r="N38" t="s">
        <v>223</v>
      </c>
    </row>
    <row r="39" spans="1:14" x14ac:dyDescent="0.3">
      <c r="A39" s="5" t="s">
        <v>19</v>
      </c>
      <c r="B39" s="6" t="s">
        <v>31</v>
      </c>
      <c r="C39" s="7" t="s">
        <v>31</v>
      </c>
      <c r="D39" t="s">
        <v>51</v>
      </c>
      <c r="E39" t="s">
        <v>224</v>
      </c>
      <c r="F39" s="8" t="s">
        <v>225</v>
      </c>
      <c r="H39" t="s">
        <v>51</v>
      </c>
      <c r="I39" t="s">
        <v>208</v>
      </c>
      <c r="J39" t="s">
        <v>226</v>
      </c>
      <c r="K39" t="s">
        <v>227</v>
      </c>
      <c r="L39" t="s">
        <v>211</v>
      </c>
      <c r="M39" t="s">
        <v>212</v>
      </c>
      <c r="N39" t="s">
        <v>213</v>
      </c>
    </row>
    <row r="40" spans="1:14" x14ac:dyDescent="0.3">
      <c r="A40" s="5" t="s">
        <v>19</v>
      </c>
      <c r="B40" s="6" t="s">
        <v>31</v>
      </c>
      <c r="C40" s="7" t="s">
        <v>31</v>
      </c>
      <c r="D40" t="s">
        <v>51</v>
      </c>
      <c r="E40" t="s">
        <v>228</v>
      </c>
      <c r="F40" s="8" t="s">
        <v>229</v>
      </c>
      <c r="H40" t="s">
        <v>51</v>
      </c>
      <c r="I40" t="s">
        <v>208</v>
      </c>
      <c r="J40" t="s">
        <v>230</v>
      </c>
      <c r="K40" t="s">
        <v>231</v>
      </c>
      <c r="L40" t="s">
        <v>37</v>
      </c>
      <c r="M40" t="s">
        <v>212</v>
      </c>
      <c r="N40" t="s">
        <v>213</v>
      </c>
    </row>
    <row r="41" spans="1:14" x14ac:dyDescent="0.3">
      <c r="A41" s="5" t="s">
        <v>19</v>
      </c>
      <c r="B41" s="6" t="s">
        <v>31</v>
      </c>
      <c r="C41" s="7" t="s">
        <v>31</v>
      </c>
      <c r="D41" t="s">
        <v>32</v>
      </c>
      <c r="E41" t="s">
        <v>232</v>
      </c>
      <c r="F41" s="8" t="s">
        <v>40</v>
      </c>
      <c r="H41" t="s">
        <v>25</v>
      </c>
      <c r="J41" t="s">
        <v>233</v>
      </c>
      <c r="K41" t="s">
        <v>234</v>
      </c>
      <c r="L41" t="s">
        <v>37</v>
      </c>
      <c r="M41" t="s">
        <v>38</v>
      </c>
      <c r="N41" t="s">
        <v>39</v>
      </c>
    </row>
    <row r="42" spans="1:14" x14ac:dyDescent="0.3">
      <c r="A42" s="5" t="s">
        <v>19</v>
      </c>
      <c r="B42" s="6" t="s">
        <v>31</v>
      </c>
      <c r="C42" s="7" t="s">
        <v>31</v>
      </c>
      <c r="D42" t="s">
        <v>32</v>
      </c>
      <c r="E42" t="s">
        <v>235</v>
      </c>
      <c r="F42" s="8" t="s">
        <v>236</v>
      </c>
      <c r="H42" t="s">
        <v>25</v>
      </c>
      <c r="J42" t="s">
        <v>237</v>
      </c>
      <c r="K42" t="s">
        <v>238</v>
      </c>
      <c r="L42" t="s">
        <v>37</v>
      </c>
      <c r="M42" t="s">
        <v>38</v>
      </c>
      <c r="N42" t="s">
        <v>39</v>
      </c>
    </row>
    <row r="43" spans="1:14" x14ac:dyDescent="0.3">
      <c r="A43" s="5" t="s">
        <v>19</v>
      </c>
      <c r="B43" s="6" t="s">
        <v>20</v>
      </c>
      <c r="C43" s="7" t="s">
        <v>20</v>
      </c>
      <c r="D43" t="s">
        <v>128</v>
      </c>
      <c r="E43" t="s">
        <v>239</v>
      </c>
      <c r="F43" s="8" t="s">
        <v>240</v>
      </c>
      <c r="H43" t="s">
        <v>25</v>
      </c>
      <c r="J43" t="s">
        <v>241</v>
      </c>
      <c r="K43" t="s">
        <v>132</v>
      </c>
      <c r="L43" t="s">
        <v>117</v>
      </c>
      <c r="M43" t="s">
        <v>38</v>
      </c>
      <c r="N43" t="s">
        <v>128</v>
      </c>
    </row>
    <row r="44" spans="1:14" x14ac:dyDescent="0.3">
      <c r="A44" s="5" t="s">
        <v>19</v>
      </c>
      <c r="B44" s="6" t="s">
        <v>20</v>
      </c>
      <c r="C44" s="7" t="s">
        <v>20</v>
      </c>
      <c r="D44" t="s">
        <v>128</v>
      </c>
      <c r="E44" t="s">
        <v>242</v>
      </c>
      <c r="F44" s="8" t="s">
        <v>243</v>
      </c>
      <c r="H44" t="s">
        <v>25</v>
      </c>
      <c r="J44" t="s">
        <v>244</v>
      </c>
      <c r="K44" t="s">
        <v>137</v>
      </c>
      <c r="L44" t="s">
        <v>138</v>
      </c>
      <c r="M44" t="s">
        <v>38</v>
      </c>
      <c r="N44" t="s">
        <v>128</v>
      </c>
    </row>
    <row r="45" spans="1:14" x14ac:dyDescent="0.3">
      <c r="A45" s="5" t="s">
        <v>19</v>
      </c>
      <c r="B45" s="6" t="s">
        <v>20</v>
      </c>
      <c r="C45" s="7" t="s">
        <v>20</v>
      </c>
      <c r="D45" t="s">
        <v>128</v>
      </c>
      <c r="E45" t="s">
        <v>245</v>
      </c>
      <c r="F45" s="8" t="s">
        <v>246</v>
      </c>
      <c r="H45" t="s">
        <v>25</v>
      </c>
      <c r="J45" t="s">
        <v>247</v>
      </c>
      <c r="K45" t="s">
        <v>142</v>
      </c>
      <c r="L45" t="s">
        <v>138</v>
      </c>
      <c r="M45" t="s">
        <v>38</v>
      </c>
      <c r="N45" t="s">
        <v>128</v>
      </c>
    </row>
    <row r="46" spans="1:14" x14ac:dyDescent="0.3">
      <c r="A46" s="5" t="s">
        <v>19</v>
      </c>
      <c r="B46" s="6" t="s">
        <v>20</v>
      </c>
      <c r="C46" s="7" t="s">
        <v>93</v>
      </c>
      <c r="D46" t="s">
        <v>22</v>
      </c>
      <c r="E46" t="s">
        <v>248</v>
      </c>
      <c r="F46" s="8" t="s">
        <v>249</v>
      </c>
      <c r="H46" t="s">
        <v>25</v>
      </c>
      <c r="J46" t="s">
        <v>250</v>
      </c>
      <c r="K46" t="s">
        <v>251</v>
      </c>
      <c r="L46" t="s">
        <v>187</v>
      </c>
      <c r="M46" t="s">
        <v>252</v>
      </c>
      <c r="N46" t="s">
        <v>253</v>
      </c>
    </row>
    <row r="47" spans="1:14" x14ac:dyDescent="0.3">
      <c r="A47" s="5" t="s">
        <v>19</v>
      </c>
      <c r="B47" s="6" t="s">
        <v>31</v>
      </c>
      <c r="C47" s="7" t="s">
        <v>181</v>
      </c>
      <c r="D47" t="s">
        <v>61</v>
      </c>
      <c r="E47" t="s">
        <v>254</v>
      </c>
      <c r="F47" s="8" t="s">
        <v>255</v>
      </c>
      <c r="H47" t="s">
        <v>25</v>
      </c>
      <c r="I47" t="s">
        <v>184</v>
      </c>
      <c r="J47" t="s">
        <v>256</v>
      </c>
      <c r="K47" t="s">
        <v>257</v>
      </c>
      <c r="L47" t="s">
        <v>187</v>
      </c>
      <c r="M47" t="s">
        <v>188</v>
      </c>
      <c r="N47" t="s">
        <v>188</v>
      </c>
    </row>
    <row r="48" spans="1:14" x14ac:dyDescent="0.3">
      <c r="A48" s="5" t="s">
        <v>19</v>
      </c>
      <c r="B48" s="6" t="s">
        <v>31</v>
      </c>
      <c r="C48" s="7" t="s">
        <v>181</v>
      </c>
      <c r="D48" t="s">
        <v>61</v>
      </c>
      <c r="E48" t="s">
        <v>258</v>
      </c>
      <c r="F48" s="8" t="s">
        <v>259</v>
      </c>
      <c r="H48" t="s">
        <v>25</v>
      </c>
      <c r="I48" t="s">
        <v>184</v>
      </c>
      <c r="J48" t="s">
        <v>260</v>
      </c>
      <c r="K48" t="s">
        <v>261</v>
      </c>
      <c r="L48" t="s">
        <v>187</v>
      </c>
      <c r="M48" t="s">
        <v>188</v>
      </c>
      <c r="N48" t="s">
        <v>188</v>
      </c>
    </row>
    <row r="49" spans="1:14" x14ac:dyDescent="0.3">
      <c r="A49" s="5" t="s">
        <v>19</v>
      </c>
      <c r="B49" s="6" t="s">
        <v>20</v>
      </c>
      <c r="C49" s="7" t="s">
        <v>20</v>
      </c>
      <c r="D49" t="s">
        <v>160</v>
      </c>
      <c r="E49" t="s">
        <v>262</v>
      </c>
      <c r="F49" s="8" t="s">
        <v>263</v>
      </c>
      <c r="H49" t="s">
        <v>163</v>
      </c>
      <c r="J49" t="s">
        <v>264</v>
      </c>
      <c r="K49" t="s">
        <v>265</v>
      </c>
      <c r="L49" t="s">
        <v>117</v>
      </c>
      <c r="M49" t="s">
        <v>266</v>
      </c>
      <c r="N49" t="s">
        <v>266</v>
      </c>
    </row>
    <row r="50" spans="1:14" x14ac:dyDescent="0.3">
      <c r="A50" s="5" t="s">
        <v>19</v>
      </c>
      <c r="B50" s="6" t="s">
        <v>20</v>
      </c>
      <c r="C50" s="7" t="s">
        <v>93</v>
      </c>
      <c r="D50" t="s">
        <v>22</v>
      </c>
      <c r="E50" t="s">
        <v>267</v>
      </c>
      <c r="F50" s="8" t="s">
        <v>268</v>
      </c>
      <c r="H50" t="s">
        <v>25</v>
      </c>
      <c r="J50" t="s">
        <v>269</v>
      </c>
      <c r="K50" t="s">
        <v>270</v>
      </c>
      <c r="L50" t="s">
        <v>37</v>
      </c>
      <c r="M50" t="s">
        <v>252</v>
      </c>
      <c r="N50" t="s">
        <v>253</v>
      </c>
    </row>
    <row r="51" spans="1:14" x14ac:dyDescent="0.3">
      <c r="A51" s="5" t="s">
        <v>19</v>
      </c>
      <c r="B51" s="6" t="s">
        <v>31</v>
      </c>
      <c r="C51" s="7" t="s">
        <v>21</v>
      </c>
      <c r="D51" t="s">
        <v>32</v>
      </c>
      <c r="E51" t="s">
        <v>271</v>
      </c>
      <c r="F51" s="8" t="s">
        <v>272</v>
      </c>
      <c r="H51" t="s">
        <v>25</v>
      </c>
      <c r="J51" t="s">
        <v>273</v>
      </c>
      <c r="K51" t="s">
        <v>274</v>
      </c>
      <c r="L51" t="s">
        <v>37</v>
      </c>
      <c r="M51" t="s">
        <v>111</v>
      </c>
      <c r="N51" t="s">
        <v>30</v>
      </c>
    </row>
    <row r="52" spans="1:14" x14ac:dyDescent="0.3">
      <c r="A52" s="5" t="s">
        <v>19</v>
      </c>
      <c r="B52" s="6" t="s">
        <v>31</v>
      </c>
      <c r="C52" s="7" t="s">
        <v>31</v>
      </c>
      <c r="D52" t="s">
        <v>32</v>
      </c>
      <c r="E52" t="s">
        <v>275</v>
      </c>
      <c r="F52" s="8" t="s">
        <v>276</v>
      </c>
      <c r="H52" t="s">
        <v>25</v>
      </c>
      <c r="J52" t="s">
        <v>277</v>
      </c>
      <c r="K52" t="s">
        <v>278</v>
      </c>
      <c r="L52" t="s">
        <v>37</v>
      </c>
      <c r="M52" t="s">
        <v>38</v>
      </c>
      <c r="N52" t="s">
        <v>39</v>
      </c>
    </row>
    <row r="53" spans="1:14" x14ac:dyDescent="0.3">
      <c r="A53" s="5" t="s">
        <v>19</v>
      </c>
      <c r="B53" s="6" t="s">
        <v>20</v>
      </c>
      <c r="C53" s="7" t="s">
        <v>20</v>
      </c>
      <c r="D53" t="s">
        <v>22</v>
      </c>
      <c r="E53" t="s">
        <v>279</v>
      </c>
      <c r="F53" s="8" t="s">
        <v>280</v>
      </c>
      <c r="H53" t="s">
        <v>25</v>
      </c>
      <c r="J53" t="s">
        <v>281</v>
      </c>
      <c r="K53" t="s">
        <v>282</v>
      </c>
      <c r="L53" t="s">
        <v>28</v>
      </c>
      <c r="M53" t="s">
        <v>252</v>
      </c>
      <c r="N53" t="s">
        <v>283</v>
      </c>
    </row>
    <row r="54" spans="1:14" x14ac:dyDescent="0.3">
      <c r="A54" s="5" t="s">
        <v>19</v>
      </c>
      <c r="B54" s="6" t="s">
        <v>20</v>
      </c>
      <c r="C54" s="7" t="s">
        <v>20</v>
      </c>
      <c r="D54" t="s">
        <v>22</v>
      </c>
      <c r="E54" t="s">
        <v>284</v>
      </c>
      <c r="F54" s="8" t="s">
        <v>285</v>
      </c>
      <c r="H54" t="s">
        <v>25</v>
      </c>
      <c r="I54" t="s">
        <v>286</v>
      </c>
      <c r="J54" t="s">
        <v>287</v>
      </c>
      <c r="K54" t="s">
        <v>288</v>
      </c>
      <c r="L54" t="s">
        <v>37</v>
      </c>
      <c r="M54" t="s">
        <v>289</v>
      </c>
      <c r="N54" t="s">
        <v>290</v>
      </c>
    </row>
    <row r="55" spans="1:14" x14ac:dyDescent="0.3">
      <c r="A55" s="5" t="s">
        <v>19</v>
      </c>
      <c r="B55" s="6" t="s">
        <v>20</v>
      </c>
      <c r="C55" s="7" t="s">
        <v>20</v>
      </c>
      <c r="D55" t="s">
        <v>22</v>
      </c>
      <c r="E55" t="s">
        <v>291</v>
      </c>
      <c r="F55" s="8" t="s">
        <v>292</v>
      </c>
      <c r="H55" t="s">
        <v>25</v>
      </c>
      <c r="I55" t="s">
        <v>286</v>
      </c>
      <c r="J55" t="s">
        <v>293</v>
      </c>
      <c r="K55" t="s">
        <v>294</v>
      </c>
      <c r="L55" t="s">
        <v>37</v>
      </c>
      <c r="M55" t="s">
        <v>289</v>
      </c>
      <c r="N55" t="s">
        <v>290</v>
      </c>
    </row>
    <row r="56" spans="1:14" x14ac:dyDescent="0.3">
      <c r="A56" s="5" t="s">
        <v>19</v>
      </c>
      <c r="B56" s="6" t="s">
        <v>31</v>
      </c>
      <c r="C56" s="7" t="s">
        <v>31</v>
      </c>
      <c r="D56" t="s">
        <v>32</v>
      </c>
      <c r="E56" t="s">
        <v>295</v>
      </c>
      <c r="F56" s="8" t="s">
        <v>296</v>
      </c>
      <c r="H56" t="s">
        <v>25</v>
      </c>
      <c r="J56" t="s">
        <v>297</v>
      </c>
      <c r="K56" t="s">
        <v>298</v>
      </c>
      <c r="L56" t="s">
        <v>37</v>
      </c>
      <c r="M56" t="s">
        <v>222</v>
      </c>
      <c r="N56" t="s">
        <v>32</v>
      </c>
    </row>
    <row r="57" spans="1:14" x14ac:dyDescent="0.3">
      <c r="A57" s="5" t="s">
        <v>19</v>
      </c>
      <c r="B57" s="6" t="s">
        <v>31</v>
      </c>
      <c r="C57" s="7" t="s">
        <v>31</v>
      </c>
      <c r="D57" t="s">
        <v>32</v>
      </c>
      <c r="E57" t="s">
        <v>299</v>
      </c>
      <c r="F57" s="8" t="s">
        <v>300</v>
      </c>
      <c r="H57" t="s">
        <v>25</v>
      </c>
      <c r="J57" t="s">
        <v>301</v>
      </c>
      <c r="K57" t="s">
        <v>302</v>
      </c>
      <c r="L57" t="s">
        <v>37</v>
      </c>
      <c r="M57" t="s">
        <v>222</v>
      </c>
      <c r="N57" t="s">
        <v>32</v>
      </c>
    </row>
    <row r="58" spans="1:14" x14ac:dyDescent="0.3">
      <c r="A58" s="5" t="s">
        <v>19</v>
      </c>
      <c r="B58" s="6" t="s">
        <v>31</v>
      </c>
      <c r="C58" s="7" t="s">
        <v>303</v>
      </c>
      <c r="D58" t="s">
        <v>303</v>
      </c>
      <c r="E58" t="s">
        <v>304</v>
      </c>
      <c r="F58" s="8" t="s">
        <v>305</v>
      </c>
      <c r="H58" t="s">
        <v>163</v>
      </c>
      <c r="I58" t="s">
        <v>286</v>
      </c>
      <c r="J58" t="s">
        <v>306</v>
      </c>
      <c r="K58" t="s">
        <v>307</v>
      </c>
      <c r="L58" t="s">
        <v>37</v>
      </c>
      <c r="M58" t="s">
        <v>289</v>
      </c>
      <c r="N58" t="s">
        <v>289</v>
      </c>
    </row>
    <row r="59" spans="1:14" x14ac:dyDescent="0.3">
      <c r="A59" s="5" t="s">
        <v>19</v>
      </c>
      <c r="B59" s="6" t="s">
        <v>31</v>
      </c>
      <c r="C59" s="7" t="s">
        <v>308</v>
      </c>
      <c r="D59" t="s">
        <v>308</v>
      </c>
      <c r="E59" t="s">
        <v>309</v>
      </c>
      <c r="F59" s="8" t="s">
        <v>310</v>
      </c>
      <c r="H59" t="s">
        <v>25</v>
      </c>
      <c r="I59" t="s">
        <v>311</v>
      </c>
      <c r="J59" t="s">
        <v>312</v>
      </c>
      <c r="K59" t="s">
        <v>313</v>
      </c>
      <c r="L59" t="s">
        <v>37</v>
      </c>
      <c r="M59" t="s">
        <v>314</v>
      </c>
      <c r="N59" t="s">
        <v>314</v>
      </c>
    </row>
    <row r="60" spans="1:14" x14ac:dyDescent="0.3">
      <c r="A60" s="5" t="s">
        <v>19</v>
      </c>
      <c r="B60" s="6" t="s">
        <v>31</v>
      </c>
      <c r="C60" s="7" t="s">
        <v>31</v>
      </c>
      <c r="D60" t="s">
        <v>32</v>
      </c>
      <c r="E60" t="s">
        <v>315</v>
      </c>
      <c r="F60" s="8" t="s">
        <v>316</v>
      </c>
      <c r="H60" t="s">
        <v>25</v>
      </c>
      <c r="J60" t="s">
        <v>317</v>
      </c>
      <c r="K60" t="s">
        <v>318</v>
      </c>
      <c r="L60" t="s">
        <v>37</v>
      </c>
      <c r="M60" t="s">
        <v>222</v>
      </c>
      <c r="N60" t="s">
        <v>32</v>
      </c>
    </row>
    <row r="61" spans="1:14" x14ac:dyDescent="0.3">
      <c r="A61" s="5" t="s">
        <v>19</v>
      </c>
      <c r="B61" s="6" t="s">
        <v>31</v>
      </c>
      <c r="C61" s="7" t="s">
        <v>31</v>
      </c>
      <c r="D61" t="s">
        <v>32</v>
      </c>
      <c r="E61" t="s">
        <v>319</v>
      </c>
      <c r="F61" s="8" t="s">
        <v>320</v>
      </c>
      <c r="H61" t="s">
        <v>25</v>
      </c>
      <c r="J61" t="s">
        <v>321</v>
      </c>
      <c r="K61" t="s">
        <v>322</v>
      </c>
      <c r="L61" t="s">
        <v>37</v>
      </c>
      <c r="M61" t="s">
        <v>222</v>
      </c>
      <c r="N61" t="s">
        <v>32</v>
      </c>
    </row>
    <row r="62" spans="1:14" x14ac:dyDescent="0.3">
      <c r="A62" s="5" t="s">
        <v>19</v>
      </c>
      <c r="B62" s="6" t="s">
        <v>31</v>
      </c>
      <c r="C62" s="7" t="s">
        <v>31</v>
      </c>
      <c r="D62" t="s">
        <v>32</v>
      </c>
      <c r="E62" t="s">
        <v>323</v>
      </c>
      <c r="F62" s="8" t="s">
        <v>324</v>
      </c>
      <c r="H62" t="s">
        <v>25</v>
      </c>
      <c r="J62" t="s">
        <v>325</v>
      </c>
      <c r="K62" t="s">
        <v>326</v>
      </c>
      <c r="L62" t="s">
        <v>37</v>
      </c>
      <c r="M62" t="s">
        <v>222</v>
      </c>
      <c r="N62" t="s">
        <v>32</v>
      </c>
    </row>
    <row r="63" spans="1:14" x14ac:dyDescent="0.3">
      <c r="A63" s="5" t="s">
        <v>19</v>
      </c>
      <c r="B63" s="6" t="s">
        <v>31</v>
      </c>
      <c r="C63" s="7" t="s">
        <v>303</v>
      </c>
      <c r="D63" t="s">
        <v>303</v>
      </c>
      <c r="E63" t="s">
        <v>327</v>
      </c>
      <c r="F63" s="8" t="s">
        <v>328</v>
      </c>
      <c r="H63" t="s">
        <v>163</v>
      </c>
      <c r="I63" t="s">
        <v>286</v>
      </c>
      <c r="J63" t="s">
        <v>329</v>
      </c>
      <c r="K63" t="s">
        <v>330</v>
      </c>
      <c r="L63" t="s">
        <v>37</v>
      </c>
      <c r="M63" t="s">
        <v>289</v>
      </c>
      <c r="N63" t="s">
        <v>289</v>
      </c>
    </row>
    <row r="64" spans="1:14" x14ac:dyDescent="0.3">
      <c r="A64" s="5" t="s">
        <v>19</v>
      </c>
      <c r="B64" s="6" t="s">
        <v>20</v>
      </c>
      <c r="C64" s="7" t="s">
        <v>303</v>
      </c>
      <c r="D64" t="s">
        <v>22</v>
      </c>
      <c r="E64" t="s">
        <v>331</v>
      </c>
      <c r="F64" s="8" t="s">
        <v>332</v>
      </c>
      <c r="H64" t="s">
        <v>163</v>
      </c>
      <c r="I64" t="s">
        <v>286</v>
      </c>
      <c r="J64" t="s">
        <v>333</v>
      </c>
      <c r="K64" t="s">
        <v>334</v>
      </c>
      <c r="L64" t="s">
        <v>37</v>
      </c>
      <c r="M64" t="s">
        <v>289</v>
      </c>
      <c r="N64" t="s">
        <v>289</v>
      </c>
    </row>
    <row r="65" spans="1:14" x14ac:dyDescent="0.3">
      <c r="A65" s="5" t="s">
        <v>19</v>
      </c>
      <c r="B65" s="6" t="s">
        <v>31</v>
      </c>
      <c r="C65" s="7" t="s">
        <v>303</v>
      </c>
      <c r="D65" t="s">
        <v>303</v>
      </c>
      <c r="E65" t="s">
        <v>335</v>
      </c>
      <c r="F65" s="8" t="s">
        <v>336</v>
      </c>
      <c r="H65" t="s">
        <v>163</v>
      </c>
      <c r="I65" t="s">
        <v>286</v>
      </c>
      <c r="J65" t="s">
        <v>337</v>
      </c>
      <c r="K65" t="s">
        <v>338</v>
      </c>
      <c r="L65" t="s">
        <v>37</v>
      </c>
      <c r="M65" t="s">
        <v>289</v>
      </c>
      <c r="N65" t="s">
        <v>289</v>
      </c>
    </row>
    <row r="66" spans="1:14" x14ac:dyDescent="0.3">
      <c r="A66" s="5" t="s">
        <v>19</v>
      </c>
      <c r="B66" s="6" t="s">
        <v>31</v>
      </c>
      <c r="C66" s="7" t="s">
        <v>31</v>
      </c>
      <c r="D66" t="s">
        <v>32</v>
      </c>
      <c r="E66" t="s">
        <v>339</v>
      </c>
      <c r="F66" s="8" t="s">
        <v>340</v>
      </c>
      <c r="H66" t="s">
        <v>25</v>
      </c>
      <c r="J66" t="s">
        <v>341</v>
      </c>
      <c r="K66" t="s">
        <v>342</v>
      </c>
      <c r="L66" t="s">
        <v>37</v>
      </c>
      <c r="M66" t="s">
        <v>222</v>
      </c>
      <c r="N66" t="s">
        <v>32</v>
      </c>
    </row>
    <row r="67" spans="1:14" x14ac:dyDescent="0.3">
      <c r="A67" s="5" t="s">
        <v>19</v>
      </c>
      <c r="B67" s="6" t="s">
        <v>31</v>
      </c>
      <c r="C67" s="7" t="s">
        <v>31</v>
      </c>
      <c r="D67" t="s">
        <v>32</v>
      </c>
      <c r="E67" t="s">
        <v>343</v>
      </c>
      <c r="F67" s="8" t="s">
        <v>344</v>
      </c>
      <c r="H67" t="s">
        <v>25</v>
      </c>
      <c r="J67" t="s">
        <v>345</v>
      </c>
      <c r="K67" t="s">
        <v>346</v>
      </c>
      <c r="L67" t="s">
        <v>37</v>
      </c>
      <c r="M67" t="s">
        <v>222</v>
      </c>
      <c r="N67" t="s">
        <v>32</v>
      </c>
    </row>
    <row r="68" spans="1:14" x14ac:dyDescent="0.3">
      <c r="A68" s="5" t="s">
        <v>19</v>
      </c>
      <c r="B68" s="6" t="s">
        <v>31</v>
      </c>
      <c r="C68" s="7" t="s">
        <v>31</v>
      </c>
      <c r="D68" t="s">
        <v>32</v>
      </c>
      <c r="E68" t="s">
        <v>347</v>
      </c>
      <c r="F68" s="8" t="s">
        <v>348</v>
      </c>
      <c r="H68" t="s">
        <v>25</v>
      </c>
      <c r="J68" t="s">
        <v>349</v>
      </c>
      <c r="K68" t="s">
        <v>350</v>
      </c>
      <c r="L68" t="s">
        <v>37</v>
      </c>
      <c r="M68" t="s">
        <v>222</v>
      </c>
      <c r="N68" t="s">
        <v>32</v>
      </c>
    </row>
    <row r="69" spans="1:14" s="11" customFormat="1" x14ac:dyDescent="0.3">
      <c r="A69" s="5" t="s">
        <v>19</v>
      </c>
      <c r="B69" s="6" t="s">
        <v>31</v>
      </c>
      <c r="C69" s="7" t="s">
        <v>31</v>
      </c>
      <c r="D69" t="s">
        <v>308</v>
      </c>
      <c r="E69" s="11" t="s">
        <v>351</v>
      </c>
      <c r="F69" s="12" t="s">
        <v>352</v>
      </c>
      <c r="H69" s="11" t="s">
        <v>163</v>
      </c>
      <c r="I69" s="11" t="s">
        <v>353</v>
      </c>
      <c r="J69" s="11" t="s">
        <v>354</v>
      </c>
      <c r="K69" s="11" t="s">
        <v>355</v>
      </c>
      <c r="L69" s="11" t="s">
        <v>37</v>
      </c>
      <c r="M69" s="11" t="s">
        <v>222</v>
      </c>
    </row>
    <row r="70" spans="1:14" x14ac:dyDescent="0.3">
      <c r="A70" s="5" t="s">
        <v>19</v>
      </c>
      <c r="B70" s="6" t="s">
        <v>20</v>
      </c>
      <c r="C70" s="7" t="s">
        <v>31</v>
      </c>
      <c r="D70" t="s">
        <v>303</v>
      </c>
      <c r="E70" t="s">
        <v>356</v>
      </c>
      <c r="F70" s="8" t="s">
        <v>357</v>
      </c>
      <c r="H70" t="s">
        <v>163</v>
      </c>
      <c r="I70" t="s">
        <v>358</v>
      </c>
      <c r="J70" t="s">
        <v>359</v>
      </c>
      <c r="K70" t="s">
        <v>360</v>
      </c>
      <c r="L70" t="s">
        <v>37</v>
      </c>
      <c r="M70" t="s">
        <v>361</v>
      </c>
      <c r="N70" t="s">
        <v>362</v>
      </c>
    </row>
    <row r="71" spans="1:14" x14ac:dyDescent="0.3">
      <c r="A71" s="5" t="s">
        <v>19</v>
      </c>
      <c r="B71" s="6" t="s">
        <v>31</v>
      </c>
      <c r="C71" s="7" t="s">
        <v>31</v>
      </c>
      <c r="D71" t="s">
        <v>32</v>
      </c>
      <c r="E71" t="s">
        <v>363</v>
      </c>
      <c r="F71" s="8" t="s">
        <v>364</v>
      </c>
      <c r="H71" t="s">
        <v>25</v>
      </c>
      <c r="J71" t="s">
        <v>365</v>
      </c>
      <c r="K71" t="s">
        <v>366</v>
      </c>
      <c r="L71" t="s">
        <v>37</v>
      </c>
      <c r="M71" t="s">
        <v>222</v>
      </c>
      <c r="N71" t="s">
        <v>32</v>
      </c>
    </row>
    <row r="72" spans="1:14" x14ac:dyDescent="0.3">
      <c r="A72" s="5" t="s">
        <v>19</v>
      </c>
      <c r="B72" s="6" t="s">
        <v>31</v>
      </c>
      <c r="C72" s="7" t="s">
        <v>31</v>
      </c>
      <c r="D72" t="s">
        <v>32</v>
      </c>
      <c r="E72" t="s">
        <v>367</v>
      </c>
      <c r="F72" s="8" t="s">
        <v>368</v>
      </c>
      <c r="H72" t="s">
        <v>25</v>
      </c>
      <c r="J72" t="s">
        <v>369</v>
      </c>
      <c r="K72" t="s">
        <v>370</v>
      </c>
      <c r="L72" t="s">
        <v>37</v>
      </c>
      <c r="M72" t="s">
        <v>222</v>
      </c>
      <c r="N72" t="s">
        <v>32</v>
      </c>
    </row>
    <row r="73" spans="1:14" x14ac:dyDescent="0.3">
      <c r="A73" s="5" t="s">
        <v>19</v>
      </c>
      <c r="B73" s="6" t="s">
        <v>31</v>
      </c>
      <c r="C73" s="7" t="s">
        <v>31</v>
      </c>
      <c r="D73" t="s">
        <v>32</v>
      </c>
      <c r="E73" t="s">
        <v>371</v>
      </c>
      <c r="F73" s="8" t="s">
        <v>372</v>
      </c>
      <c r="H73" t="s">
        <v>25</v>
      </c>
      <c r="J73" t="s">
        <v>373</v>
      </c>
      <c r="K73" t="s">
        <v>374</v>
      </c>
      <c r="L73" t="s">
        <v>37</v>
      </c>
      <c r="M73" t="s">
        <v>222</v>
      </c>
      <c r="N73" t="s">
        <v>32</v>
      </c>
    </row>
    <row r="74" spans="1:14" x14ac:dyDescent="0.3">
      <c r="A74" s="5" t="s">
        <v>19</v>
      </c>
      <c r="B74" s="6" t="s">
        <v>31</v>
      </c>
      <c r="C74" s="7" t="s">
        <v>31</v>
      </c>
      <c r="D74" t="s">
        <v>32</v>
      </c>
      <c r="E74" t="s">
        <v>375</v>
      </c>
      <c r="F74" s="8" t="s">
        <v>376</v>
      </c>
      <c r="H74" t="s">
        <v>25</v>
      </c>
      <c r="J74" t="s">
        <v>377</v>
      </c>
      <c r="K74" t="s">
        <v>378</v>
      </c>
      <c r="L74" t="s">
        <v>37</v>
      </c>
      <c r="M74" t="s">
        <v>222</v>
      </c>
      <c r="N74" t="s">
        <v>32</v>
      </c>
    </row>
    <row r="75" spans="1:14" x14ac:dyDescent="0.3">
      <c r="A75" s="5" t="s">
        <v>19</v>
      </c>
      <c r="B75" s="6" t="s">
        <v>31</v>
      </c>
      <c r="C75" s="7" t="s">
        <v>31</v>
      </c>
      <c r="D75" t="s">
        <v>32</v>
      </c>
      <c r="E75" t="s">
        <v>379</v>
      </c>
      <c r="F75" s="8" t="s">
        <v>380</v>
      </c>
      <c r="H75" t="s">
        <v>25</v>
      </c>
      <c r="J75" t="s">
        <v>381</v>
      </c>
      <c r="K75" t="s">
        <v>382</v>
      </c>
      <c r="L75" t="s">
        <v>37</v>
      </c>
      <c r="M75" t="s">
        <v>222</v>
      </c>
      <c r="N75" t="s">
        <v>32</v>
      </c>
    </row>
    <row r="76" spans="1:14" x14ac:dyDescent="0.3">
      <c r="A76" s="5" t="s">
        <v>19</v>
      </c>
      <c r="B76" s="6" t="s">
        <v>31</v>
      </c>
      <c r="C76" s="7" t="s">
        <v>303</v>
      </c>
      <c r="D76" t="s">
        <v>303</v>
      </c>
      <c r="E76" t="s">
        <v>383</v>
      </c>
      <c r="F76" s="8" t="s">
        <v>384</v>
      </c>
      <c r="H76" t="s">
        <v>163</v>
      </c>
      <c r="I76" t="s">
        <v>286</v>
      </c>
      <c r="J76" t="s">
        <v>385</v>
      </c>
      <c r="K76" t="s">
        <v>386</v>
      </c>
      <c r="L76" t="s">
        <v>37</v>
      </c>
      <c r="M76" t="s">
        <v>289</v>
      </c>
      <c r="N76" t="s">
        <v>289</v>
      </c>
    </row>
    <row r="77" spans="1:14" x14ac:dyDescent="0.3">
      <c r="A77" s="5" t="s">
        <v>19</v>
      </c>
      <c r="B77" s="6" t="s">
        <v>20</v>
      </c>
      <c r="C77" s="7" t="s">
        <v>303</v>
      </c>
      <c r="D77" t="s">
        <v>22</v>
      </c>
      <c r="E77" t="s">
        <v>387</v>
      </c>
      <c r="F77" s="8" t="s">
        <v>388</v>
      </c>
      <c r="H77" t="s">
        <v>163</v>
      </c>
      <c r="I77" t="s">
        <v>286</v>
      </c>
      <c r="J77" t="s">
        <v>389</v>
      </c>
      <c r="K77" t="s">
        <v>390</v>
      </c>
      <c r="L77" t="s">
        <v>37</v>
      </c>
      <c r="M77" t="s">
        <v>289</v>
      </c>
      <c r="N77" t="s">
        <v>289</v>
      </c>
    </row>
    <row r="78" spans="1:14" x14ac:dyDescent="0.3">
      <c r="A78" s="5" t="s">
        <v>19</v>
      </c>
      <c r="B78" s="6" t="s">
        <v>31</v>
      </c>
      <c r="C78" s="7" t="s">
        <v>303</v>
      </c>
      <c r="D78" t="s">
        <v>303</v>
      </c>
      <c r="E78" t="s">
        <v>391</v>
      </c>
      <c r="F78" s="8" t="s">
        <v>392</v>
      </c>
      <c r="H78" t="s">
        <v>163</v>
      </c>
      <c r="I78" t="s">
        <v>286</v>
      </c>
      <c r="J78" t="s">
        <v>393</v>
      </c>
      <c r="K78" t="s">
        <v>394</v>
      </c>
      <c r="L78" t="s">
        <v>37</v>
      </c>
      <c r="M78" t="s">
        <v>289</v>
      </c>
      <c r="N78" t="s">
        <v>289</v>
      </c>
    </row>
    <row r="79" spans="1:14" x14ac:dyDescent="0.3">
      <c r="A79" s="5" t="s">
        <v>19</v>
      </c>
      <c r="B79" s="6" t="s">
        <v>31</v>
      </c>
      <c r="C79" s="7" t="s">
        <v>308</v>
      </c>
      <c r="D79" t="s">
        <v>308</v>
      </c>
      <c r="E79" t="s">
        <v>395</v>
      </c>
      <c r="F79" s="8" t="s">
        <v>396</v>
      </c>
      <c r="H79" t="s">
        <v>25</v>
      </c>
      <c r="I79" t="s">
        <v>311</v>
      </c>
      <c r="J79" t="s">
        <v>397</v>
      </c>
      <c r="K79" t="s">
        <v>398</v>
      </c>
      <c r="L79" t="s">
        <v>37</v>
      </c>
      <c r="M79" t="s">
        <v>314</v>
      </c>
      <c r="N79" t="s">
        <v>314</v>
      </c>
    </row>
    <row r="80" spans="1:14" x14ac:dyDescent="0.3">
      <c r="A80" s="5" t="s">
        <v>19</v>
      </c>
      <c r="B80" s="6" t="s">
        <v>31</v>
      </c>
      <c r="C80" s="7" t="s">
        <v>31</v>
      </c>
      <c r="D80" t="s">
        <v>32</v>
      </c>
      <c r="E80" t="s">
        <v>399</v>
      </c>
      <c r="F80" s="8" t="s">
        <v>400</v>
      </c>
      <c r="H80" t="s">
        <v>25</v>
      </c>
      <c r="J80" t="s">
        <v>401</v>
      </c>
      <c r="K80" t="s">
        <v>402</v>
      </c>
      <c r="L80" t="s">
        <v>37</v>
      </c>
      <c r="M80" t="s">
        <v>222</v>
      </c>
      <c r="N80" t="s">
        <v>32</v>
      </c>
    </row>
    <row r="81" spans="1:14" x14ac:dyDescent="0.3">
      <c r="A81" s="5" t="s">
        <v>19</v>
      </c>
      <c r="B81" s="6" t="s">
        <v>31</v>
      </c>
      <c r="C81" s="7" t="s">
        <v>303</v>
      </c>
      <c r="D81" t="s">
        <v>303</v>
      </c>
      <c r="E81" t="s">
        <v>403</v>
      </c>
      <c r="F81" s="8" t="s">
        <v>404</v>
      </c>
      <c r="H81" t="s">
        <v>163</v>
      </c>
      <c r="I81" t="s">
        <v>286</v>
      </c>
      <c r="J81" t="s">
        <v>405</v>
      </c>
      <c r="K81" t="s">
        <v>406</v>
      </c>
      <c r="L81" t="s">
        <v>37</v>
      </c>
      <c r="M81" t="s">
        <v>289</v>
      </c>
      <c r="N81" t="s">
        <v>289</v>
      </c>
    </row>
    <row r="82" spans="1:14" x14ac:dyDescent="0.3">
      <c r="A82" s="5" t="s">
        <v>19</v>
      </c>
      <c r="B82" s="6" t="s">
        <v>20</v>
      </c>
      <c r="C82" s="7" t="s">
        <v>303</v>
      </c>
      <c r="D82" t="s">
        <v>160</v>
      </c>
      <c r="E82" t="s">
        <v>407</v>
      </c>
      <c r="F82" s="8" t="s">
        <v>408</v>
      </c>
      <c r="H82" t="s">
        <v>163</v>
      </c>
      <c r="I82" t="s">
        <v>286</v>
      </c>
      <c r="J82" t="s">
        <v>409</v>
      </c>
      <c r="K82" t="s">
        <v>410</v>
      </c>
      <c r="L82" t="s">
        <v>37</v>
      </c>
      <c r="M82" t="s">
        <v>289</v>
      </c>
      <c r="N82" t="s">
        <v>411</v>
      </c>
    </row>
    <row r="83" spans="1:14" x14ac:dyDescent="0.3">
      <c r="A83" s="5" t="s">
        <v>19</v>
      </c>
      <c r="B83" s="6" t="s">
        <v>20</v>
      </c>
      <c r="C83" s="7" t="s">
        <v>303</v>
      </c>
      <c r="D83" t="s">
        <v>160</v>
      </c>
      <c r="E83" t="s">
        <v>412</v>
      </c>
      <c r="F83" s="8" t="s">
        <v>413</v>
      </c>
      <c r="H83" t="s">
        <v>163</v>
      </c>
      <c r="I83" t="s">
        <v>286</v>
      </c>
      <c r="J83" t="s">
        <v>414</v>
      </c>
      <c r="K83" t="s">
        <v>415</v>
      </c>
      <c r="L83" t="s">
        <v>37</v>
      </c>
      <c r="M83" t="s">
        <v>289</v>
      </c>
      <c r="N83" t="s">
        <v>411</v>
      </c>
    </row>
    <row r="84" spans="1:14" x14ac:dyDescent="0.3">
      <c r="A84" s="5" t="s">
        <v>19</v>
      </c>
      <c r="B84" s="6" t="s">
        <v>20</v>
      </c>
      <c r="C84" s="7" t="s">
        <v>303</v>
      </c>
      <c r="D84" t="s">
        <v>160</v>
      </c>
      <c r="E84" t="s">
        <v>416</v>
      </c>
      <c r="F84" s="8" t="s">
        <v>417</v>
      </c>
      <c r="H84" t="s">
        <v>163</v>
      </c>
      <c r="I84" t="s">
        <v>286</v>
      </c>
      <c r="J84" t="s">
        <v>418</v>
      </c>
      <c r="K84" t="s">
        <v>419</v>
      </c>
      <c r="L84" t="s">
        <v>37</v>
      </c>
      <c r="M84" t="s">
        <v>289</v>
      </c>
      <c r="N84" t="s">
        <v>411</v>
      </c>
    </row>
    <row r="85" spans="1:14" x14ac:dyDescent="0.3">
      <c r="A85" s="5" t="s">
        <v>19</v>
      </c>
      <c r="B85" s="6" t="s">
        <v>31</v>
      </c>
      <c r="C85" s="7" t="s">
        <v>308</v>
      </c>
      <c r="D85" t="s">
        <v>308</v>
      </c>
      <c r="E85" t="s">
        <v>420</v>
      </c>
      <c r="F85" s="12" t="s">
        <v>421</v>
      </c>
      <c r="G85" s="11"/>
      <c r="H85" t="s">
        <v>25</v>
      </c>
      <c r="I85" t="s">
        <v>311</v>
      </c>
      <c r="J85" t="s">
        <v>422</v>
      </c>
      <c r="K85" t="s">
        <v>398</v>
      </c>
      <c r="L85" t="s">
        <v>37</v>
      </c>
      <c r="M85" t="s">
        <v>314</v>
      </c>
      <c r="N85" t="s">
        <v>314</v>
      </c>
    </row>
    <row r="86" spans="1:14" x14ac:dyDescent="0.3">
      <c r="A86" s="5" t="s">
        <v>19</v>
      </c>
      <c r="B86" s="6" t="s">
        <v>31</v>
      </c>
      <c r="C86" s="7" t="s">
        <v>308</v>
      </c>
      <c r="D86" t="s">
        <v>308</v>
      </c>
      <c r="E86" t="s">
        <v>423</v>
      </c>
      <c r="F86" s="8" t="s">
        <v>424</v>
      </c>
      <c r="H86" t="s">
        <v>25</v>
      </c>
      <c r="I86" t="s">
        <v>311</v>
      </c>
      <c r="J86" t="s">
        <v>425</v>
      </c>
      <c r="K86" t="s">
        <v>398</v>
      </c>
      <c r="L86" t="s">
        <v>37</v>
      </c>
      <c r="M86" t="s">
        <v>314</v>
      </c>
      <c r="N86" t="s">
        <v>314</v>
      </c>
    </row>
    <row r="87" spans="1:14" x14ac:dyDescent="0.3">
      <c r="A87" s="5" t="s">
        <v>19</v>
      </c>
      <c r="B87" s="6" t="s">
        <v>31</v>
      </c>
      <c r="C87" s="7" t="s">
        <v>308</v>
      </c>
      <c r="D87" t="s">
        <v>308</v>
      </c>
      <c r="E87" t="s">
        <v>426</v>
      </c>
      <c r="F87" s="8" t="s">
        <v>427</v>
      </c>
      <c r="H87" t="s">
        <v>25</v>
      </c>
      <c r="I87" t="s">
        <v>311</v>
      </c>
      <c r="J87" t="s">
        <v>428</v>
      </c>
      <c r="K87" t="s">
        <v>398</v>
      </c>
      <c r="L87" t="s">
        <v>37</v>
      </c>
      <c r="M87" t="s">
        <v>314</v>
      </c>
      <c r="N87" t="s">
        <v>314</v>
      </c>
    </row>
    <row r="88" spans="1:14" x14ac:dyDescent="0.3">
      <c r="A88" s="5" t="s">
        <v>19</v>
      </c>
      <c r="B88" s="6" t="s">
        <v>31</v>
      </c>
      <c r="C88" s="7" t="s">
        <v>303</v>
      </c>
      <c r="D88" t="s">
        <v>303</v>
      </c>
      <c r="E88" t="s">
        <v>429</v>
      </c>
      <c r="F88" s="8" t="s">
        <v>430</v>
      </c>
      <c r="H88" t="s">
        <v>163</v>
      </c>
      <c r="I88" t="s">
        <v>286</v>
      </c>
      <c r="J88" t="s">
        <v>431</v>
      </c>
      <c r="K88" t="s">
        <v>432</v>
      </c>
      <c r="L88" t="s">
        <v>37</v>
      </c>
      <c r="M88" t="s">
        <v>289</v>
      </c>
      <c r="N88" t="s">
        <v>289</v>
      </c>
    </row>
    <row r="89" spans="1:14" x14ac:dyDescent="0.3">
      <c r="A89" s="5" t="s">
        <v>19</v>
      </c>
      <c r="B89" s="6" t="s">
        <v>20</v>
      </c>
      <c r="C89" s="7" t="s">
        <v>303</v>
      </c>
      <c r="D89" t="s">
        <v>160</v>
      </c>
      <c r="E89" t="s">
        <v>433</v>
      </c>
      <c r="F89" s="8" t="s">
        <v>434</v>
      </c>
      <c r="H89" t="s">
        <v>163</v>
      </c>
      <c r="J89" t="s">
        <v>435</v>
      </c>
      <c r="K89" t="s">
        <v>436</v>
      </c>
      <c r="L89" t="s">
        <v>37</v>
      </c>
      <c r="M89" t="s">
        <v>437</v>
      </c>
      <c r="N89" t="s">
        <v>438</v>
      </c>
    </row>
    <row r="90" spans="1:14" x14ac:dyDescent="0.3">
      <c r="A90" s="5" t="s">
        <v>19</v>
      </c>
      <c r="B90" s="6" t="s">
        <v>31</v>
      </c>
      <c r="C90" s="7" t="s">
        <v>31</v>
      </c>
      <c r="D90" t="s">
        <v>32</v>
      </c>
      <c r="E90" t="s">
        <v>439</v>
      </c>
      <c r="F90" s="8" t="s">
        <v>440</v>
      </c>
      <c r="H90" t="s">
        <v>25</v>
      </c>
      <c r="J90" t="s">
        <v>441</v>
      </c>
      <c r="K90" t="s">
        <v>442</v>
      </c>
      <c r="L90" t="s">
        <v>37</v>
      </c>
      <c r="M90" t="s">
        <v>222</v>
      </c>
      <c r="N90" t="s">
        <v>32</v>
      </c>
    </row>
    <row r="91" spans="1:14" x14ac:dyDescent="0.3">
      <c r="A91" s="5" t="s">
        <v>19</v>
      </c>
      <c r="B91" s="6" t="s">
        <v>31</v>
      </c>
      <c r="C91" s="7" t="s">
        <v>308</v>
      </c>
      <c r="D91" t="s">
        <v>308</v>
      </c>
      <c r="E91" t="s">
        <v>443</v>
      </c>
      <c r="F91" s="8" t="s">
        <v>444</v>
      </c>
      <c r="H91" t="s">
        <v>25</v>
      </c>
      <c r="I91" t="s">
        <v>311</v>
      </c>
      <c r="J91" t="s">
        <v>445</v>
      </c>
      <c r="K91" t="s">
        <v>398</v>
      </c>
      <c r="L91" t="s">
        <v>37</v>
      </c>
      <c r="M91" t="s">
        <v>314</v>
      </c>
      <c r="N91" t="s">
        <v>314</v>
      </c>
    </row>
    <row r="92" spans="1:14" x14ac:dyDescent="0.3">
      <c r="A92" s="5" t="s">
        <v>19</v>
      </c>
      <c r="B92" s="6" t="s">
        <v>31</v>
      </c>
      <c r="C92" s="7" t="s">
        <v>303</v>
      </c>
      <c r="D92" t="s">
        <v>303</v>
      </c>
      <c r="E92" t="s">
        <v>446</v>
      </c>
      <c r="F92" s="8" t="s">
        <v>447</v>
      </c>
      <c r="H92" t="s">
        <v>163</v>
      </c>
      <c r="I92" t="s">
        <v>286</v>
      </c>
      <c r="J92" t="s">
        <v>448</v>
      </c>
      <c r="K92" t="s">
        <v>449</v>
      </c>
      <c r="L92" t="s">
        <v>37</v>
      </c>
      <c r="M92" t="s">
        <v>289</v>
      </c>
      <c r="N92" t="s">
        <v>289</v>
      </c>
    </row>
    <row r="93" spans="1:14" x14ac:dyDescent="0.3">
      <c r="A93" s="5" t="s">
        <v>19</v>
      </c>
      <c r="B93" s="6" t="s">
        <v>31</v>
      </c>
      <c r="C93" s="7" t="s">
        <v>31</v>
      </c>
      <c r="D93" t="s">
        <v>32</v>
      </c>
      <c r="E93" t="s">
        <v>450</v>
      </c>
      <c r="F93" s="8" t="s">
        <v>451</v>
      </c>
      <c r="H93" t="s">
        <v>25</v>
      </c>
      <c r="J93" t="s">
        <v>452</v>
      </c>
      <c r="K93" t="s">
        <v>453</v>
      </c>
      <c r="L93" t="s">
        <v>37</v>
      </c>
      <c r="M93" t="s">
        <v>222</v>
      </c>
      <c r="N93" t="s">
        <v>32</v>
      </c>
    </row>
    <row r="94" spans="1:14" x14ac:dyDescent="0.3">
      <c r="A94" s="5" t="s">
        <v>19</v>
      </c>
      <c r="B94" s="6" t="s">
        <v>31</v>
      </c>
      <c r="C94" s="7" t="s">
        <v>303</v>
      </c>
      <c r="D94" t="s">
        <v>303</v>
      </c>
      <c r="E94" t="s">
        <v>454</v>
      </c>
      <c r="F94" s="8" t="s">
        <v>455</v>
      </c>
      <c r="H94" t="s">
        <v>163</v>
      </c>
      <c r="I94" t="s">
        <v>286</v>
      </c>
      <c r="J94" t="s">
        <v>456</v>
      </c>
      <c r="K94" t="s">
        <v>457</v>
      </c>
      <c r="L94" t="s">
        <v>37</v>
      </c>
      <c r="M94" t="s">
        <v>289</v>
      </c>
      <c r="N94" t="s">
        <v>289</v>
      </c>
    </row>
    <row r="95" spans="1:14" x14ac:dyDescent="0.3">
      <c r="A95" s="5" t="s">
        <v>19</v>
      </c>
      <c r="B95" s="6" t="s">
        <v>31</v>
      </c>
      <c r="C95" s="7" t="s">
        <v>31</v>
      </c>
      <c r="D95" t="s">
        <v>32</v>
      </c>
      <c r="E95" t="s">
        <v>458</v>
      </c>
      <c r="F95" s="8" t="s">
        <v>459</v>
      </c>
      <c r="H95" t="s">
        <v>25</v>
      </c>
      <c r="J95" t="s">
        <v>460</v>
      </c>
      <c r="K95" t="s">
        <v>461</v>
      </c>
      <c r="L95" t="s">
        <v>37</v>
      </c>
      <c r="M95" t="s">
        <v>222</v>
      </c>
      <c r="N95" t="s">
        <v>32</v>
      </c>
    </row>
    <row r="96" spans="1:14" x14ac:dyDescent="0.3">
      <c r="A96" s="5" t="s">
        <v>19</v>
      </c>
      <c r="B96" s="6" t="s">
        <v>31</v>
      </c>
      <c r="C96" s="7" t="s">
        <v>308</v>
      </c>
      <c r="D96" t="s">
        <v>308</v>
      </c>
      <c r="E96" t="s">
        <v>462</v>
      </c>
      <c r="F96" s="8" t="s">
        <v>463</v>
      </c>
      <c r="H96" t="s">
        <v>25</v>
      </c>
      <c r="I96" t="s">
        <v>311</v>
      </c>
      <c r="J96" t="s">
        <v>464</v>
      </c>
      <c r="K96" t="s">
        <v>398</v>
      </c>
      <c r="L96" t="s">
        <v>37</v>
      </c>
      <c r="M96" t="s">
        <v>314</v>
      </c>
      <c r="N96" t="s">
        <v>314</v>
      </c>
    </row>
    <row r="97" spans="1:14" x14ac:dyDescent="0.3">
      <c r="A97" s="5" t="s">
        <v>19</v>
      </c>
      <c r="B97" s="6" t="s">
        <v>20</v>
      </c>
      <c r="C97" s="7" t="s">
        <v>303</v>
      </c>
      <c r="D97" t="s">
        <v>303</v>
      </c>
      <c r="E97" t="s">
        <v>465</v>
      </c>
      <c r="F97" s="8" t="s">
        <v>466</v>
      </c>
      <c r="H97" t="s">
        <v>163</v>
      </c>
      <c r="I97" t="s">
        <v>286</v>
      </c>
      <c r="J97" t="s">
        <v>467</v>
      </c>
      <c r="K97" t="s">
        <v>468</v>
      </c>
      <c r="L97" t="s">
        <v>37</v>
      </c>
      <c r="M97" t="s">
        <v>289</v>
      </c>
      <c r="N97" t="s">
        <v>289</v>
      </c>
    </row>
    <row r="98" spans="1:14" x14ac:dyDescent="0.3">
      <c r="A98" s="5" t="s">
        <v>19</v>
      </c>
      <c r="B98" s="6" t="s">
        <v>20</v>
      </c>
      <c r="C98" s="7" t="s">
        <v>303</v>
      </c>
      <c r="D98" t="s">
        <v>303</v>
      </c>
      <c r="E98" t="s">
        <v>469</v>
      </c>
      <c r="F98" s="8" t="s">
        <v>470</v>
      </c>
      <c r="H98" t="s">
        <v>163</v>
      </c>
      <c r="I98" t="s">
        <v>286</v>
      </c>
      <c r="J98" t="s">
        <v>471</v>
      </c>
      <c r="K98" t="s">
        <v>472</v>
      </c>
      <c r="L98" t="s">
        <v>37</v>
      </c>
      <c r="M98" t="s">
        <v>289</v>
      </c>
      <c r="N98" t="s">
        <v>289</v>
      </c>
    </row>
    <row r="99" spans="1:14" x14ac:dyDescent="0.3">
      <c r="A99" s="5" t="s">
        <v>19</v>
      </c>
      <c r="B99" s="6" t="s">
        <v>20</v>
      </c>
      <c r="C99" s="7" t="s">
        <v>303</v>
      </c>
      <c r="D99" t="s">
        <v>303</v>
      </c>
      <c r="E99" t="s">
        <v>473</v>
      </c>
      <c r="F99" s="8" t="s">
        <v>474</v>
      </c>
      <c r="H99" t="s">
        <v>163</v>
      </c>
      <c r="I99" t="s">
        <v>286</v>
      </c>
      <c r="J99" t="s">
        <v>475</v>
      </c>
      <c r="K99" t="s">
        <v>476</v>
      </c>
      <c r="L99" t="s">
        <v>37</v>
      </c>
      <c r="M99" t="s">
        <v>289</v>
      </c>
      <c r="N99" t="s">
        <v>289</v>
      </c>
    </row>
    <row r="100" spans="1:14" x14ac:dyDescent="0.3">
      <c r="A100" s="5" t="s">
        <v>19</v>
      </c>
      <c r="B100" s="6" t="s">
        <v>20</v>
      </c>
      <c r="C100" s="7" t="s">
        <v>303</v>
      </c>
      <c r="D100" t="s">
        <v>303</v>
      </c>
      <c r="E100" t="s">
        <v>477</v>
      </c>
      <c r="F100" s="8" t="s">
        <v>478</v>
      </c>
      <c r="H100" t="s">
        <v>163</v>
      </c>
      <c r="I100" t="s">
        <v>286</v>
      </c>
      <c r="J100" t="s">
        <v>479</v>
      </c>
      <c r="K100" t="s">
        <v>480</v>
      </c>
      <c r="L100" t="s">
        <v>37</v>
      </c>
      <c r="M100" t="s">
        <v>289</v>
      </c>
      <c r="N100" t="s">
        <v>289</v>
      </c>
    </row>
    <row r="101" spans="1:14" x14ac:dyDescent="0.3">
      <c r="A101" s="5" t="s">
        <v>19</v>
      </c>
      <c r="B101" s="6" t="s">
        <v>31</v>
      </c>
      <c r="C101" s="7" t="s">
        <v>31</v>
      </c>
      <c r="D101" t="s">
        <v>32</v>
      </c>
      <c r="E101" t="s">
        <v>481</v>
      </c>
      <c r="F101" s="8" t="s">
        <v>482</v>
      </c>
      <c r="H101" t="s">
        <v>25</v>
      </c>
      <c r="J101" t="s">
        <v>483</v>
      </c>
      <c r="K101" t="s">
        <v>484</v>
      </c>
      <c r="L101" t="s">
        <v>37</v>
      </c>
      <c r="M101" t="s">
        <v>222</v>
      </c>
      <c r="N101" t="s">
        <v>32</v>
      </c>
    </row>
    <row r="102" spans="1:14" x14ac:dyDescent="0.3">
      <c r="A102" s="5" t="s">
        <v>19</v>
      </c>
      <c r="B102" s="6" t="s">
        <v>31</v>
      </c>
      <c r="C102" s="7" t="s">
        <v>303</v>
      </c>
      <c r="D102" t="s">
        <v>303</v>
      </c>
      <c r="E102" t="s">
        <v>485</v>
      </c>
      <c r="F102" s="8" t="s">
        <v>486</v>
      </c>
      <c r="H102" t="s">
        <v>163</v>
      </c>
      <c r="I102" t="s">
        <v>286</v>
      </c>
      <c r="J102" t="s">
        <v>487</v>
      </c>
      <c r="K102" t="s">
        <v>488</v>
      </c>
      <c r="L102" t="s">
        <v>37</v>
      </c>
      <c r="M102" t="s">
        <v>289</v>
      </c>
      <c r="N102" t="s">
        <v>289</v>
      </c>
    </row>
    <row r="103" spans="1:14" x14ac:dyDescent="0.3">
      <c r="A103" s="5" t="s">
        <v>19</v>
      </c>
      <c r="B103" s="6" t="s">
        <v>31</v>
      </c>
      <c r="C103" s="7" t="s">
        <v>21</v>
      </c>
      <c r="D103" t="s">
        <v>32</v>
      </c>
      <c r="E103" t="s">
        <v>489</v>
      </c>
      <c r="F103" s="8" t="s">
        <v>490</v>
      </c>
      <c r="H103" t="s">
        <v>25</v>
      </c>
      <c r="J103" t="s">
        <v>491</v>
      </c>
      <c r="K103" t="s">
        <v>492</v>
      </c>
      <c r="L103" t="s">
        <v>37</v>
      </c>
      <c r="M103" t="s">
        <v>111</v>
      </c>
      <c r="N103" t="s">
        <v>30</v>
      </c>
    </row>
    <row r="104" spans="1:14" x14ac:dyDescent="0.3">
      <c r="A104" s="5" t="s">
        <v>19</v>
      </c>
      <c r="B104" s="6" t="s">
        <v>20</v>
      </c>
      <c r="C104" s="7" t="s">
        <v>20</v>
      </c>
      <c r="D104" t="s">
        <v>22</v>
      </c>
      <c r="E104" t="s">
        <v>493</v>
      </c>
      <c r="F104" s="8" t="s">
        <v>494</v>
      </c>
      <c r="H104" t="s">
        <v>25</v>
      </c>
      <c r="I104" t="s">
        <v>495</v>
      </c>
      <c r="J104" t="s">
        <v>496</v>
      </c>
      <c r="K104" t="s">
        <v>497</v>
      </c>
      <c r="L104" t="s">
        <v>498</v>
      </c>
      <c r="M104" t="s">
        <v>67</v>
      </c>
      <c r="N104" t="s">
        <v>499</v>
      </c>
    </row>
    <row r="105" spans="1:14" x14ac:dyDescent="0.3">
      <c r="A105" s="5" t="s">
        <v>19</v>
      </c>
      <c r="B105" s="6" t="s">
        <v>20</v>
      </c>
      <c r="C105" s="7" t="s">
        <v>20</v>
      </c>
      <c r="D105" t="s">
        <v>160</v>
      </c>
      <c r="E105" t="s">
        <v>500</v>
      </c>
      <c r="F105" s="8" t="s">
        <v>501</v>
      </c>
      <c r="H105" t="s">
        <v>163</v>
      </c>
      <c r="I105" t="s">
        <v>164</v>
      </c>
      <c r="J105" t="s">
        <v>502</v>
      </c>
      <c r="K105" t="s">
        <v>503</v>
      </c>
      <c r="L105" t="s">
        <v>504</v>
      </c>
      <c r="M105" t="s">
        <v>167</v>
      </c>
      <c r="N105" t="s">
        <v>167</v>
      </c>
    </row>
    <row r="106" spans="1:14" x14ac:dyDescent="0.3">
      <c r="A106" s="5" t="s">
        <v>19</v>
      </c>
      <c r="B106" s="6" t="s">
        <v>31</v>
      </c>
      <c r="C106" s="7" t="s">
        <v>61</v>
      </c>
      <c r="D106" t="s">
        <v>61</v>
      </c>
      <c r="E106" t="s">
        <v>505</v>
      </c>
      <c r="F106" s="8" t="s">
        <v>506</v>
      </c>
      <c r="H106" t="s">
        <v>25</v>
      </c>
      <c r="I106" t="s">
        <v>507</v>
      </c>
      <c r="J106" t="s">
        <v>508</v>
      </c>
      <c r="K106" t="s">
        <v>509</v>
      </c>
      <c r="L106" t="s">
        <v>510</v>
      </c>
      <c r="M106" t="s">
        <v>511</v>
      </c>
      <c r="N106" t="s">
        <v>511</v>
      </c>
    </row>
    <row r="107" spans="1:14" x14ac:dyDescent="0.3">
      <c r="A107" s="5" t="s">
        <v>19</v>
      </c>
      <c r="B107" s="6" t="s">
        <v>31</v>
      </c>
      <c r="C107" s="7" t="s">
        <v>31</v>
      </c>
      <c r="D107" t="s">
        <v>61</v>
      </c>
      <c r="E107" t="s">
        <v>512</v>
      </c>
      <c r="F107" s="12" t="s">
        <v>513</v>
      </c>
      <c r="G107" s="11" t="s">
        <v>514</v>
      </c>
      <c r="H107" t="s">
        <v>25</v>
      </c>
      <c r="J107" t="s">
        <v>515</v>
      </c>
      <c r="K107" t="s">
        <v>516</v>
      </c>
      <c r="L107" t="s">
        <v>72</v>
      </c>
      <c r="M107" t="s">
        <v>252</v>
      </c>
    </row>
    <row r="108" spans="1:14" x14ac:dyDescent="0.3">
      <c r="A108" s="5" t="s">
        <v>19</v>
      </c>
      <c r="B108" s="6" t="s">
        <v>31</v>
      </c>
      <c r="C108" s="7" t="s">
        <v>61</v>
      </c>
      <c r="D108" t="s">
        <v>61</v>
      </c>
      <c r="E108" t="s">
        <v>517</v>
      </c>
      <c r="F108" s="8" t="s">
        <v>518</v>
      </c>
      <c r="H108" t="s">
        <v>25</v>
      </c>
      <c r="J108" t="s">
        <v>519</v>
      </c>
      <c r="K108" t="s">
        <v>520</v>
      </c>
      <c r="L108" t="s">
        <v>510</v>
      </c>
      <c r="M108" t="s">
        <v>511</v>
      </c>
      <c r="N108" t="s">
        <v>511</v>
      </c>
    </row>
    <row r="109" spans="1:14" x14ac:dyDescent="0.3">
      <c r="A109" s="5" t="s">
        <v>19</v>
      </c>
      <c r="B109" s="6" t="s">
        <v>31</v>
      </c>
      <c r="C109" s="7" t="s">
        <v>61</v>
      </c>
      <c r="D109" t="s">
        <v>61</v>
      </c>
      <c r="E109" t="s">
        <v>521</v>
      </c>
      <c r="F109" s="8" t="s">
        <v>522</v>
      </c>
      <c r="H109" t="s">
        <v>25</v>
      </c>
      <c r="I109" t="s">
        <v>523</v>
      </c>
      <c r="J109" t="s">
        <v>519</v>
      </c>
      <c r="K109" t="s">
        <v>524</v>
      </c>
      <c r="L109" t="s">
        <v>510</v>
      </c>
      <c r="M109" t="s">
        <v>511</v>
      </c>
      <c r="N109" t="s">
        <v>511</v>
      </c>
    </row>
    <row r="110" spans="1:14" x14ac:dyDescent="0.3">
      <c r="A110" s="5" t="s">
        <v>40</v>
      </c>
      <c r="B110" s="6" t="s">
        <v>31</v>
      </c>
      <c r="C110" s="7" t="s">
        <v>31</v>
      </c>
      <c r="D110" t="s">
        <v>51</v>
      </c>
      <c r="E110" s="13" t="s">
        <v>525</v>
      </c>
      <c r="F110" s="9" t="s">
        <v>525</v>
      </c>
      <c r="G110" s="10"/>
      <c r="H110" t="s">
        <v>51</v>
      </c>
      <c r="I110" t="s">
        <v>507</v>
      </c>
      <c r="J110" t="s">
        <v>526</v>
      </c>
      <c r="K110" t="s">
        <v>527</v>
      </c>
      <c r="L110" t="s">
        <v>37</v>
      </c>
      <c r="M110" t="s">
        <v>528</v>
      </c>
      <c r="N110" t="s">
        <v>529</v>
      </c>
    </row>
    <row r="111" spans="1:14" x14ac:dyDescent="0.3">
      <c r="A111" s="5" t="s">
        <v>19</v>
      </c>
      <c r="B111" s="6" t="s">
        <v>31</v>
      </c>
      <c r="C111" s="7" t="s">
        <v>21</v>
      </c>
      <c r="D111" t="s">
        <v>32</v>
      </c>
      <c r="E111" t="s">
        <v>530</v>
      </c>
      <c r="F111" s="14" t="s">
        <v>531</v>
      </c>
      <c r="G111" s="15" t="s">
        <v>532</v>
      </c>
      <c r="H111" t="s">
        <v>25</v>
      </c>
      <c r="J111" t="s">
        <v>533</v>
      </c>
      <c r="K111" t="s">
        <v>534</v>
      </c>
      <c r="L111" t="s">
        <v>535</v>
      </c>
      <c r="M111" t="s">
        <v>111</v>
      </c>
      <c r="N111" t="s">
        <v>536</v>
      </c>
    </row>
    <row r="112" spans="1:14" x14ac:dyDescent="0.3">
      <c r="A112" s="5" t="s">
        <v>19</v>
      </c>
      <c r="B112" s="6" t="s">
        <v>31</v>
      </c>
      <c r="C112" s="7" t="s">
        <v>21</v>
      </c>
      <c r="D112" t="s">
        <v>32</v>
      </c>
      <c r="E112" t="s">
        <v>537</v>
      </c>
      <c r="F112" s="14" t="s">
        <v>538</v>
      </c>
      <c r="G112" s="15" t="s">
        <v>532</v>
      </c>
      <c r="H112" t="s">
        <v>25</v>
      </c>
      <c r="J112" t="s">
        <v>533</v>
      </c>
      <c r="K112" t="s">
        <v>539</v>
      </c>
      <c r="L112" t="s">
        <v>37</v>
      </c>
      <c r="M112" t="s">
        <v>111</v>
      </c>
      <c r="N112" t="s">
        <v>30</v>
      </c>
    </row>
    <row r="113" spans="1:14" x14ac:dyDescent="0.3">
      <c r="A113" s="5" t="s">
        <v>19</v>
      </c>
      <c r="B113" s="6" t="s">
        <v>20</v>
      </c>
      <c r="C113" s="7" t="s">
        <v>20</v>
      </c>
      <c r="D113" t="s">
        <v>540</v>
      </c>
      <c r="E113" t="s">
        <v>541</v>
      </c>
      <c r="F113" s="8" t="s">
        <v>542</v>
      </c>
      <c r="H113" t="s">
        <v>25</v>
      </c>
      <c r="J113" t="s">
        <v>543</v>
      </c>
      <c r="K113" t="s">
        <v>544</v>
      </c>
      <c r="L113" t="s">
        <v>117</v>
      </c>
      <c r="M113" t="s">
        <v>545</v>
      </c>
      <c r="N113" t="s">
        <v>546</v>
      </c>
    </row>
    <row r="114" spans="1:14" x14ac:dyDescent="0.3">
      <c r="A114" s="5" t="s">
        <v>19</v>
      </c>
      <c r="B114" s="6" t="s">
        <v>20</v>
      </c>
      <c r="C114" s="7" t="s">
        <v>20</v>
      </c>
      <c r="D114" t="s">
        <v>540</v>
      </c>
      <c r="E114" t="s">
        <v>547</v>
      </c>
      <c r="F114" s="8" t="s">
        <v>548</v>
      </c>
      <c r="H114" t="s">
        <v>25</v>
      </c>
      <c r="J114" t="s">
        <v>549</v>
      </c>
      <c r="K114" t="s">
        <v>550</v>
      </c>
      <c r="L114" t="s">
        <v>551</v>
      </c>
      <c r="M114" t="s">
        <v>545</v>
      </c>
      <c r="N114" t="s">
        <v>546</v>
      </c>
    </row>
    <row r="115" spans="1:14" x14ac:dyDescent="0.3">
      <c r="A115" s="5" t="s">
        <v>19</v>
      </c>
      <c r="B115" s="6" t="s">
        <v>20</v>
      </c>
      <c r="C115" s="7" t="s">
        <v>20</v>
      </c>
      <c r="D115" t="s">
        <v>540</v>
      </c>
      <c r="E115" t="s">
        <v>552</v>
      </c>
      <c r="F115" s="12" t="s">
        <v>553</v>
      </c>
      <c r="G115" s="11"/>
      <c r="H115" t="s">
        <v>163</v>
      </c>
      <c r="I115" t="s">
        <v>164</v>
      </c>
      <c r="J115" t="s">
        <v>554</v>
      </c>
      <c r="K115" t="s">
        <v>555</v>
      </c>
      <c r="L115" t="s">
        <v>37</v>
      </c>
      <c r="M115" t="s">
        <v>167</v>
      </c>
      <c r="N115" t="s">
        <v>556</v>
      </c>
    </row>
    <row r="116" spans="1:14" x14ac:dyDescent="0.3">
      <c r="A116" s="5" t="s">
        <v>19</v>
      </c>
      <c r="B116" s="6" t="s">
        <v>31</v>
      </c>
      <c r="C116" s="7" t="s">
        <v>31</v>
      </c>
      <c r="D116" t="s">
        <v>32</v>
      </c>
      <c r="E116" t="s">
        <v>557</v>
      </c>
      <c r="F116" s="8" t="s">
        <v>558</v>
      </c>
      <c r="H116" t="s">
        <v>25</v>
      </c>
      <c r="J116" t="s">
        <v>559</v>
      </c>
      <c r="K116" t="s">
        <v>560</v>
      </c>
      <c r="L116" t="s">
        <v>498</v>
      </c>
      <c r="M116" t="s">
        <v>252</v>
      </c>
      <c r="N116" t="s">
        <v>561</v>
      </c>
    </row>
    <row r="117" spans="1:14" x14ac:dyDescent="0.3">
      <c r="A117" s="5" t="s">
        <v>19</v>
      </c>
      <c r="B117" s="6" t="s">
        <v>31</v>
      </c>
      <c r="C117" s="7" t="s">
        <v>31</v>
      </c>
      <c r="D117" t="s">
        <v>62</v>
      </c>
      <c r="E117" t="s">
        <v>562</v>
      </c>
      <c r="F117" s="8" t="s">
        <v>563</v>
      </c>
      <c r="H117" t="s">
        <v>25</v>
      </c>
      <c r="J117" t="s">
        <v>564</v>
      </c>
      <c r="K117" t="s">
        <v>565</v>
      </c>
      <c r="L117" t="s">
        <v>510</v>
      </c>
      <c r="M117" t="s">
        <v>566</v>
      </c>
      <c r="N117" t="s">
        <v>567</v>
      </c>
    </row>
    <row r="118" spans="1:14" x14ac:dyDescent="0.3">
      <c r="A118" s="5" t="s">
        <v>19</v>
      </c>
      <c r="B118" s="6" t="s">
        <v>31</v>
      </c>
      <c r="C118" s="7" t="s">
        <v>31</v>
      </c>
      <c r="D118" t="s">
        <v>32</v>
      </c>
      <c r="E118" t="s">
        <v>568</v>
      </c>
      <c r="F118" s="8" t="s">
        <v>569</v>
      </c>
      <c r="H118" t="s">
        <v>25</v>
      </c>
      <c r="J118" t="s">
        <v>570</v>
      </c>
      <c r="K118" t="s">
        <v>571</v>
      </c>
      <c r="L118" t="s">
        <v>37</v>
      </c>
      <c r="M118" t="s">
        <v>38</v>
      </c>
      <c r="N118" t="s">
        <v>39</v>
      </c>
    </row>
    <row r="119" spans="1:14" x14ac:dyDescent="0.3">
      <c r="A119" s="5" t="s">
        <v>19</v>
      </c>
      <c r="B119" s="6" t="s">
        <v>31</v>
      </c>
      <c r="C119" s="7" t="s">
        <v>21</v>
      </c>
      <c r="D119" t="s">
        <v>32</v>
      </c>
      <c r="E119" t="s">
        <v>572</v>
      </c>
      <c r="F119" s="8" t="s">
        <v>573</v>
      </c>
      <c r="H119" t="s">
        <v>25</v>
      </c>
      <c r="J119" t="s">
        <v>574</v>
      </c>
      <c r="K119" t="s">
        <v>575</v>
      </c>
      <c r="L119" t="s">
        <v>37</v>
      </c>
      <c r="M119" t="s">
        <v>111</v>
      </c>
      <c r="N119" t="s">
        <v>30</v>
      </c>
    </row>
    <row r="120" spans="1:14" x14ac:dyDescent="0.3">
      <c r="A120" s="5" t="s">
        <v>19</v>
      </c>
      <c r="B120" s="6" t="s">
        <v>20</v>
      </c>
      <c r="C120" s="7" t="s">
        <v>20</v>
      </c>
      <c r="D120" t="s">
        <v>4</v>
      </c>
      <c r="E120" t="s">
        <v>576</v>
      </c>
      <c r="F120" s="8" t="s">
        <v>577</v>
      </c>
      <c r="H120" t="s">
        <v>25</v>
      </c>
      <c r="J120" t="s">
        <v>578</v>
      </c>
      <c r="K120" t="s">
        <v>579</v>
      </c>
      <c r="L120" t="s">
        <v>37</v>
      </c>
      <c r="M120" t="s">
        <v>105</v>
      </c>
      <c r="N120" t="s">
        <v>106</v>
      </c>
    </row>
    <row r="121" spans="1:14" x14ac:dyDescent="0.3">
      <c r="A121" s="5" t="s">
        <v>19</v>
      </c>
      <c r="B121" s="6" t="s">
        <v>20</v>
      </c>
      <c r="C121" s="7" t="s">
        <v>20</v>
      </c>
      <c r="D121" t="s">
        <v>160</v>
      </c>
      <c r="E121" t="s">
        <v>580</v>
      </c>
      <c r="F121" s="8" t="s">
        <v>581</v>
      </c>
      <c r="H121" t="s">
        <v>25</v>
      </c>
      <c r="J121" t="s">
        <v>582</v>
      </c>
      <c r="K121" t="s">
        <v>583</v>
      </c>
      <c r="L121" t="s">
        <v>187</v>
      </c>
      <c r="M121" t="s">
        <v>252</v>
      </c>
      <c r="N121" t="s">
        <v>584</v>
      </c>
    </row>
    <row r="122" spans="1:14" x14ac:dyDescent="0.3">
      <c r="A122" s="5" t="s">
        <v>19</v>
      </c>
      <c r="B122" s="6" t="s">
        <v>31</v>
      </c>
      <c r="C122" s="7" t="s">
        <v>31</v>
      </c>
      <c r="D122" t="s">
        <v>32</v>
      </c>
      <c r="E122" t="s">
        <v>585</v>
      </c>
      <c r="F122" s="8" t="s">
        <v>586</v>
      </c>
      <c r="H122" t="s">
        <v>25</v>
      </c>
      <c r="J122" t="s">
        <v>587</v>
      </c>
      <c r="K122" t="s">
        <v>588</v>
      </c>
      <c r="L122" t="s">
        <v>37</v>
      </c>
      <c r="M122" t="s">
        <v>38</v>
      </c>
      <c r="N122" t="s">
        <v>39</v>
      </c>
    </row>
    <row r="123" spans="1:14" x14ac:dyDescent="0.3">
      <c r="A123" s="5" t="s">
        <v>19</v>
      </c>
      <c r="B123" s="6" t="s">
        <v>31</v>
      </c>
      <c r="C123" s="7" t="s">
        <v>181</v>
      </c>
      <c r="D123" t="s">
        <v>61</v>
      </c>
      <c r="E123" t="s">
        <v>589</v>
      </c>
      <c r="F123" s="8" t="s">
        <v>590</v>
      </c>
      <c r="H123" t="s">
        <v>25</v>
      </c>
      <c r="I123" t="s">
        <v>184</v>
      </c>
      <c r="J123" t="s">
        <v>591</v>
      </c>
      <c r="K123" t="s">
        <v>592</v>
      </c>
      <c r="L123" t="s">
        <v>187</v>
      </c>
      <c r="M123" t="s">
        <v>188</v>
      </c>
      <c r="N123" t="s">
        <v>188</v>
      </c>
    </row>
    <row r="124" spans="1:14" x14ac:dyDescent="0.3">
      <c r="A124" s="5" t="s">
        <v>19</v>
      </c>
      <c r="B124" s="6" t="s">
        <v>20</v>
      </c>
      <c r="C124" s="7" t="s">
        <v>20</v>
      </c>
      <c r="D124" t="s">
        <v>112</v>
      </c>
      <c r="E124" t="s">
        <v>593</v>
      </c>
      <c r="F124" s="8" t="s">
        <v>594</v>
      </c>
      <c r="H124" t="s">
        <v>163</v>
      </c>
      <c r="J124" t="s">
        <v>595</v>
      </c>
      <c r="K124" t="s">
        <v>596</v>
      </c>
      <c r="L124" t="s">
        <v>117</v>
      </c>
      <c r="M124" t="s">
        <v>266</v>
      </c>
      <c r="N124" t="s">
        <v>266</v>
      </c>
    </row>
    <row r="125" spans="1:14" x14ac:dyDescent="0.3">
      <c r="A125" s="5" t="s">
        <v>19</v>
      </c>
      <c r="B125" s="6" t="s">
        <v>20</v>
      </c>
      <c r="C125" s="7" t="s">
        <v>20</v>
      </c>
      <c r="D125" t="s">
        <v>22</v>
      </c>
      <c r="E125" t="s">
        <v>597</v>
      </c>
      <c r="F125" s="8" t="s">
        <v>598</v>
      </c>
      <c r="H125" t="s">
        <v>25</v>
      </c>
      <c r="J125" t="s">
        <v>599</v>
      </c>
      <c r="K125" t="s">
        <v>600</v>
      </c>
      <c r="L125" t="s">
        <v>117</v>
      </c>
      <c r="M125" t="s">
        <v>252</v>
      </c>
    </row>
    <row r="126" spans="1:14" x14ac:dyDescent="0.3">
      <c r="A126" s="5" t="s">
        <v>19</v>
      </c>
      <c r="B126" s="6" t="s">
        <v>20</v>
      </c>
      <c r="C126" s="7" t="s">
        <v>20</v>
      </c>
      <c r="D126" t="s">
        <v>4</v>
      </c>
      <c r="E126" t="s">
        <v>601</v>
      </c>
      <c r="F126" s="8" t="s">
        <v>602</v>
      </c>
      <c r="H126" t="s">
        <v>25</v>
      </c>
      <c r="J126" t="s">
        <v>603</v>
      </c>
      <c r="K126" t="s">
        <v>604</v>
      </c>
      <c r="L126" t="s">
        <v>37</v>
      </c>
      <c r="M126" t="s">
        <v>105</v>
      </c>
      <c r="N126" t="s">
        <v>106</v>
      </c>
    </row>
    <row r="127" spans="1:14" x14ac:dyDescent="0.3">
      <c r="A127" s="5" t="s">
        <v>19</v>
      </c>
      <c r="B127" s="6" t="s">
        <v>31</v>
      </c>
      <c r="C127" s="7" t="s">
        <v>31</v>
      </c>
      <c r="D127" t="s">
        <v>51</v>
      </c>
      <c r="E127" t="s">
        <v>605</v>
      </c>
      <c r="F127" s="8" t="s">
        <v>605</v>
      </c>
      <c r="H127" t="s">
        <v>51</v>
      </c>
      <c r="J127" t="s">
        <v>606</v>
      </c>
      <c r="K127" t="s">
        <v>607</v>
      </c>
      <c r="L127" t="s">
        <v>535</v>
      </c>
      <c r="M127" t="s">
        <v>56</v>
      </c>
      <c r="N127" t="s">
        <v>608</v>
      </c>
    </row>
    <row r="128" spans="1:14" x14ac:dyDescent="0.3">
      <c r="A128" s="5" t="s">
        <v>19</v>
      </c>
      <c r="B128" s="6" t="s">
        <v>31</v>
      </c>
      <c r="C128" s="7" t="s">
        <v>61</v>
      </c>
      <c r="D128" t="s">
        <v>61</v>
      </c>
      <c r="E128" t="s">
        <v>609</v>
      </c>
      <c r="F128" s="8" t="s">
        <v>610</v>
      </c>
      <c r="H128" t="s">
        <v>25</v>
      </c>
      <c r="I128" t="s">
        <v>611</v>
      </c>
      <c r="J128" t="s">
        <v>612</v>
      </c>
      <c r="K128" t="s">
        <v>613</v>
      </c>
      <c r="L128" t="s">
        <v>211</v>
      </c>
      <c r="M128" t="s">
        <v>511</v>
      </c>
      <c r="N128" t="s">
        <v>511</v>
      </c>
    </row>
    <row r="129" spans="1:14" x14ac:dyDescent="0.3">
      <c r="A129" s="5" t="s">
        <v>19</v>
      </c>
      <c r="B129" s="6" t="s">
        <v>31</v>
      </c>
      <c r="C129" s="7" t="s">
        <v>61</v>
      </c>
      <c r="D129" t="s">
        <v>61</v>
      </c>
      <c r="E129" t="s">
        <v>614</v>
      </c>
      <c r="F129" s="8" t="s">
        <v>615</v>
      </c>
      <c r="H129" t="s">
        <v>25</v>
      </c>
      <c r="I129" t="s">
        <v>523</v>
      </c>
      <c r="J129" t="s">
        <v>612</v>
      </c>
      <c r="K129" t="s">
        <v>616</v>
      </c>
      <c r="L129" t="s">
        <v>211</v>
      </c>
      <c r="M129" t="s">
        <v>511</v>
      </c>
      <c r="N129" t="s">
        <v>511</v>
      </c>
    </row>
    <row r="130" spans="1:14" x14ac:dyDescent="0.3">
      <c r="A130" s="5" t="s">
        <v>19</v>
      </c>
      <c r="B130" s="6" t="s">
        <v>31</v>
      </c>
      <c r="C130" s="7" t="s">
        <v>61</v>
      </c>
      <c r="D130" t="s">
        <v>61</v>
      </c>
      <c r="E130" t="s">
        <v>617</v>
      </c>
      <c r="F130" s="8" t="s">
        <v>618</v>
      </c>
      <c r="H130" t="s">
        <v>25</v>
      </c>
      <c r="I130" t="s">
        <v>507</v>
      </c>
      <c r="J130" t="s">
        <v>619</v>
      </c>
      <c r="K130" t="s">
        <v>620</v>
      </c>
      <c r="L130" t="s">
        <v>211</v>
      </c>
      <c r="M130" t="s">
        <v>511</v>
      </c>
      <c r="N130" t="s">
        <v>511</v>
      </c>
    </row>
    <row r="131" spans="1:14" x14ac:dyDescent="0.3">
      <c r="A131" s="5" t="s">
        <v>19</v>
      </c>
      <c r="B131" s="6" t="s">
        <v>31</v>
      </c>
      <c r="C131" s="7" t="s">
        <v>61</v>
      </c>
      <c r="D131" t="s">
        <v>61</v>
      </c>
      <c r="E131" t="s">
        <v>621</v>
      </c>
      <c r="F131" s="8" t="s">
        <v>622</v>
      </c>
      <c r="H131" t="s">
        <v>25</v>
      </c>
      <c r="I131" t="s">
        <v>611</v>
      </c>
      <c r="J131" t="s">
        <v>623</v>
      </c>
      <c r="K131" t="s">
        <v>624</v>
      </c>
      <c r="L131" t="s">
        <v>211</v>
      </c>
      <c r="M131" t="s">
        <v>511</v>
      </c>
      <c r="N131" t="s">
        <v>511</v>
      </c>
    </row>
    <row r="132" spans="1:14" x14ac:dyDescent="0.3">
      <c r="A132" s="5" t="s">
        <v>19</v>
      </c>
      <c r="B132" s="6" t="s">
        <v>31</v>
      </c>
      <c r="C132" s="7" t="s">
        <v>61</v>
      </c>
      <c r="D132" t="s">
        <v>61</v>
      </c>
      <c r="E132" t="s">
        <v>625</v>
      </c>
      <c r="F132" s="8" t="s">
        <v>626</v>
      </c>
      <c r="H132" t="s">
        <v>25</v>
      </c>
      <c r="I132" t="s">
        <v>523</v>
      </c>
      <c r="J132" t="s">
        <v>623</v>
      </c>
      <c r="K132" t="s">
        <v>627</v>
      </c>
      <c r="L132" t="s">
        <v>211</v>
      </c>
      <c r="M132" t="s">
        <v>511</v>
      </c>
      <c r="N132" t="s">
        <v>511</v>
      </c>
    </row>
    <row r="133" spans="1:14" x14ac:dyDescent="0.3">
      <c r="A133" s="5" t="s">
        <v>19</v>
      </c>
      <c r="B133" s="6" t="s">
        <v>31</v>
      </c>
      <c r="C133" s="7" t="s">
        <v>61</v>
      </c>
      <c r="D133" t="s">
        <v>61</v>
      </c>
      <c r="E133" t="s">
        <v>628</v>
      </c>
      <c r="F133" s="8" t="s">
        <v>629</v>
      </c>
      <c r="H133" t="s">
        <v>25</v>
      </c>
      <c r="I133" t="s">
        <v>611</v>
      </c>
      <c r="J133" t="s">
        <v>630</v>
      </c>
      <c r="K133" t="s">
        <v>631</v>
      </c>
      <c r="L133" t="s">
        <v>211</v>
      </c>
      <c r="M133" t="s">
        <v>511</v>
      </c>
      <c r="N133" t="s">
        <v>511</v>
      </c>
    </row>
    <row r="134" spans="1:14" x14ac:dyDescent="0.3">
      <c r="A134" s="5" t="s">
        <v>19</v>
      </c>
      <c r="B134" s="6" t="s">
        <v>31</v>
      </c>
      <c r="C134" s="7" t="s">
        <v>61</v>
      </c>
      <c r="D134" t="s">
        <v>61</v>
      </c>
      <c r="E134" t="s">
        <v>632</v>
      </c>
      <c r="F134" s="8" t="s">
        <v>633</v>
      </c>
      <c r="H134" t="s">
        <v>25</v>
      </c>
      <c r="I134" t="s">
        <v>523</v>
      </c>
      <c r="J134" t="s">
        <v>630</v>
      </c>
      <c r="K134" t="s">
        <v>634</v>
      </c>
      <c r="L134" t="s">
        <v>211</v>
      </c>
      <c r="M134" t="s">
        <v>511</v>
      </c>
      <c r="N134" t="s">
        <v>511</v>
      </c>
    </row>
    <row r="135" spans="1:14" x14ac:dyDescent="0.3">
      <c r="A135" s="5" t="s">
        <v>19</v>
      </c>
      <c r="B135" s="6" t="s">
        <v>20</v>
      </c>
      <c r="C135" s="7" t="s">
        <v>20</v>
      </c>
      <c r="D135" t="s">
        <v>112</v>
      </c>
      <c r="E135" t="s">
        <v>635</v>
      </c>
      <c r="F135" s="8" t="s">
        <v>636</v>
      </c>
      <c r="H135" t="s">
        <v>163</v>
      </c>
      <c r="J135" t="s">
        <v>637</v>
      </c>
      <c r="K135" t="s">
        <v>638</v>
      </c>
      <c r="L135" t="s">
        <v>117</v>
      </c>
      <c r="M135" t="s">
        <v>266</v>
      </c>
      <c r="N135" t="s">
        <v>266</v>
      </c>
    </row>
    <row r="136" spans="1:14" x14ac:dyDescent="0.3">
      <c r="A136" s="5" t="s">
        <v>19</v>
      </c>
      <c r="B136" s="6" t="s">
        <v>20</v>
      </c>
      <c r="C136" s="7" t="s">
        <v>20</v>
      </c>
      <c r="D136" t="s">
        <v>22</v>
      </c>
      <c r="E136" t="s">
        <v>639</v>
      </c>
      <c r="F136" s="8" t="s">
        <v>640</v>
      </c>
      <c r="H136" t="s">
        <v>25</v>
      </c>
      <c r="J136" t="s">
        <v>641</v>
      </c>
      <c r="K136" t="s">
        <v>642</v>
      </c>
      <c r="L136" t="s">
        <v>643</v>
      </c>
      <c r="M136" t="s">
        <v>252</v>
      </c>
      <c r="N136" t="s">
        <v>641</v>
      </c>
    </row>
    <row r="137" spans="1:14" x14ac:dyDescent="0.3">
      <c r="A137" s="5" t="s">
        <v>19</v>
      </c>
      <c r="B137" s="6" t="s">
        <v>20</v>
      </c>
      <c r="C137" s="7" t="s">
        <v>20</v>
      </c>
      <c r="D137" t="s">
        <v>22</v>
      </c>
      <c r="E137" t="s">
        <v>644</v>
      </c>
      <c r="F137" s="8" t="s">
        <v>645</v>
      </c>
      <c r="H137" t="s">
        <v>25</v>
      </c>
      <c r="J137" t="s">
        <v>646</v>
      </c>
      <c r="K137" t="s">
        <v>647</v>
      </c>
      <c r="L137" t="s">
        <v>498</v>
      </c>
      <c r="M137" t="s">
        <v>252</v>
      </c>
    </row>
    <row r="138" spans="1:14" x14ac:dyDescent="0.3">
      <c r="A138" s="5" t="s">
        <v>19</v>
      </c>
      <c r="B138" s="6" t="s">
        <v>31</v>
      </c>
      <c r="C138" s="7" t="s">
        <v>31</v>
      </c>
      <c r="D138" t="s">
        <v>61</v>
      </c>
      <c r="E138" t="s">
        <v>648</v>
      </c>
      <c r="F138" s="8" t="s">
        <v>649</v>
      </c>
      <c r="H138" t="s">
        <v>25</v>
      </c>
      <c r="J138" t="s">
        <v>650</v>
      </c>
      <c r="K138" t="s">
        <v>651</v>
      </c>
      <c r="L138" t="s">
        <v>28</v>
      </c>
      <c r="M138" t="s">
        <v>99</v>
      </c>
      <c r="N138" t="s">
        <v>652</v>
      </c>
    </row>
    <row r="139" spans="1:14" x14ac:dyDescent="0.3">
      <c r="A139" s="5" t="s">
        <v>19</v>
      </c>
      <c r="B139" s="6" t="s">
        <v>31</v>
      </c>
      <c r="C139" s="7" t="s">
        <v>31</v>
      </c>
      <c r="D139" t="s">
        <v>51</v>
      </c>
      <c r="E139" t="s">
        <v>653</v>
      </c>
      <c r="F139" s="8" t="s">
        <v>653</v>
      </c>
      <c r="H139" t="s">
        <v>51</v>
      </c>
      <c r="J139" t="s">
        <v>654</v>
      </c>
      <c r="K139" t="s">
        <v>655</v>
      </c>
      <c r="L139" t="s">
        <v>55</v>
      </c>
      <c r="M139" t="s">
        <v>56</v>
      </c>
      <c r="N139" t="s">
        <v>608</v>
      </c>
    </row>
    <row r="140" spans="1:14" x14ac:dyDescent="0.3">
      <c r="A140" s="5" t="s">
        <v>40</v>
      </c>
      <c r="B140" s="6" t="s">
        <v>41</v>
      </c>
      <c r="C140" s="7" t="s">
        <v>41</v>
      </c>
      <c r="D140" t="s">
        <v>42</v>
      </c>
      <c r="E140" t="s">
        <v>656</v>
      </c>
      <c r="F140" s="8" t="s">
        <v>657</v>
      </c>
      <c r="H140" t="s">
        <v>45</v>
      </c>
      <c r="J140" t="s">
        <v>46</v>
      </c>
      <c r="K140" t="s">
        <v>658</v>
      </c>
      <c r="L140" t="s">
        <v>48</v>
      </c>
      <c r="M140" t="s">
        <v>49</v>
      </c>
      <c r="N140" t="s">
        <v>50</v>
      </c>
    </row>
    <row r="141" spans="1:14" x14ac:dyDescent="0.3">
      <c r="A141" s="5" t="s">
        <v>40</v>
      </c>
      <c r="B141" s="6" t="s">
        <v>41</v>
      </c>
      <c r="C141" s="7" t="s">
        <v>41</v>
      </c>
      <c r="D141" t="s">
        <v>42</v>
      </c>
      <c r="E141" t="s">
        <v>659</v>
      </c>
      <c r="F141" s="9" t="s">
        <v>660</v>
      </c>
      <c r="G141" s="10"/>
      <c r="H141" t="s">
        <v>661</v>
      </c>
      <c r="I141" t="s">
        <v>286</v>
      </c>
      <c r="J141" t="s">
        <v>662</v>
      </c>
      <c r="K141" t="s">
        <v>663</v>
      </c>
      <c r="L141" t="s">
        <v>48</v>
      </c>
      <c r="M141" t="s">
        <v>664</v>
      </c>
      <c r="N141" t="s">
        <v>88</v>
      </c>
    </row>
    <row r="142" spans="1:14" x14ac:dyDescent="0.3">
      <c r="A142" s="5" t="s">
        <v>19</v>
      </c>
      <c r="B142" s="6" t="s">
        <v>31</v>
      </c>
      <c r="C142" s="7" t="s">
        <v>21</v>
      </c>
      <c r="D142" t="s">
        <v>32</v>
      </c>
      <c r="E142" t="s">
        <v>665</v>
      </c>
      <c r="F142" s="8" t="s">
        <v>666</v>
      </c>
      <c r="H142" t="s">
        <v>25</v>
      </c>
      <c r="J142" t="s">
        <v>667</v>
      </c>
      <c r="K142" t="s">
        <v>668</v>
      </c>
      <c r="L142" t="s">
        <v>535</v>
      </c>
      <c r="M142" t="s">
        <v>111</v>
      </c>
      <c r="N142" t="s">
        <v>30</v>
      </c>
    </row>
    <row r="143" spans="1:14" x14ac:dyDescent="0.3">
      <c r="A143" s="5" t="s">
        <v>19</v>
      </c>
      <c r="B143" s="6" t="s">
        <v>20</v>
      </c>
      <c r="C143" s="7" t="s">
        <v>20</v>
      </c>
      <c r="D143" t="s">
        <v>160</v>
      </c>
      <c r="E143" t="s">
        <v>669</v>
      </c>
      <c r="F143" s="8" t="s">
        <v>670</v>
      </c>
      <c r="H143" t="s">
        <v>25</v>
      </c>
      <c r="J143" t="s">
        <v>671</v>
      </c>
      <c r="K143" t="s">
        <v>672</v>
      </c>
      <c r="L143" t="s">
        <v>673</v>
      </c>
      <c r="M143" t="s">
        <v>252</v>
      </c>
      <c r="N143" t="s">
        <v>674</v>
      </c>
    </row>
    <row r="144" spans="1:14" x14ac:dyDescent="0.3">
      <c r="A144" s="5" t="s">
        <v>19</v>
      </c>
      <c r="B144" s="6" t="s">
        <v>20</v>
      </c>
      <c r="C144" s="7" t="s">
        <v>20</v>
      </c>
      <c r="D144" t="s">
        <v>160</v>
      </c>
      <c r="E144" t="s">
        <v>675</v>
      </c>
      <c r="F144" s="8" t="s">
        <v>676</v>
      </c>
      <c r="H144" t="s">
        <v>25</v>
      </c>
      <c r="J144" t="s">
        <v>677</v>
      </c>
      <c r="K144" t="s">
        <v>678</v>
      </c>
      <c r="L144" t="s">
        <v>673</v>
      </c>
      <c r="M144" t="s">
        <v>252</v>
      </c>
      <c r="N144" t="s">
        <v>674</v>
      </c>
    </row>
    <row r="145" spans="1:14" x14ac:dyDescent="0.3">
      <c r="A145" s="5" t="s">
        <v>19</v>
      </c>
      <c r="B145" s="6" t="s">
        <v>20</v>
      </c>
      <c r="C145" s="7" t="s">
        <v>20</v>
      </c>
      <c r="D145" t="s">
        <v>160</v>
      </c>
      <c r="E145" t="s">
        <v>679</v>
      </c>
      <c r="F145" s="8" t="s">
        <v>680</v>
      </c>
      <c r="H145" t="s">
        <v>25</v>
      </c>
      <c r="J145" t="s">
        <v>681</v>
      </c>
      <c r="K145" t="s">
        <v>682</v>
      </c>
      <c r="L145" t="s">
        <v>673</v>
      </c>
      <c r="M145" t="s">
        <v>252</v>
      </c>
      <c r="N145" t="s">
        <v>674</v>
      </c>
    </row>
    <row r="146" spans="1:14" x14ac:dyDescent="0.3">
      <c r="F146" s="10"/>
      <c r="G146" s="10"/>
    </row>
    <row r="147" spans="1:14" x14ac:dyDescent="0.3">
      <c r="F147" s="10"/>
      <c r="G147" s="10"/>
    </row>
  </sheetData>
  <autoFilter ref="A1:N157" xr:uid="{00000000-0001-0000-0000-000000000000}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0178CB431FBB44BA390DFB7A67DCC0" ma:contentTypeVersion="6" ma:contentTypeDescription="Create a new document." ma:contentTypeScope="" ma:versionID="7cf40ffdaf92502662e88991d82c178b">
  <xsd:schema xmlns:xsd="http://www.w3.org/2001/XMLSchema" xmlns:xs="http://www.w3.org/2001/XMLSchema" xmlns:p="http://schemas.microsoft.com/office/2006/metadata/properties" xmlns:ns2="6076d197-b432-4a89-8b9d-b97676e775aa" xmlns:ns3="3f71e46e-dbdb-4936-a808-49fb891fc3e2" targetNamespace="http://schemas.microsoft.com/office/2006/metadata/properties" ma:root="true" ma:fieldsID="3cce505b0ca2dad9e6a679eb1ac958f3" ns2:_="" ns3:_="">
    <xsd:import namespace="6076d197-b432-4a89-8b9d-b97676e775aa"/>
    <xsd:import namespace="3f71e46e-dbdb-4936-a808-49fb891fc3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76d197-b432-4a89-8b9d-b97676e775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71e46e-dbdb-4936-a808-49fb891fc3e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417A1C-C7E4-4B2C-97ED-5CC84DF7E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76d197-b432-4a89-8b9d-b97676e775aa"/>
    <ds:schemaRef ds:uri="3f71e46e-dbdb-4936-a808-49fb891fc3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282B94-B822-4F45-BD80-10F6613E20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BD7057-42ED-4ADF-B933-788039119473}">
  <ds:schemaRefs>
    <ds:schemaRef ds:uri="http://schemas.microsoft.com/office/2006/metadata/properties"/>
    <ds:schemaRef ds:uri="http://schemas.microsoft.com/office/2006/documentManagement/types"/>
    <ds:schemaRef ds:uri="http://purl.org/dc/dcmitype/"/>
    <ds:schemaRef ds:uri="6076d197-b432-4a89-8b9d-b97676e775aa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3f71e46e-dbdb-4936-a808-49fb891fc3e2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Spearmans2</vt:lpstr>
      <vt:lpstr>Active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BERZINS Sabine</dc:creator>
  <cp:keywords/>
  <dc:description/>
  <cp:lastModifiedBy>BERZINS Sabine * DEQ</cp:lastModifiedBy>
  <cp:revision/>
  <dcterms:created xsi:type="dcterms:W3CDTF">2025-10-30T17:44:56Z</dcterms:created>
  <dcterms:modified xsi:type="dcterms:W3CDTF">2026-04-02T23:36:47Z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0x010100D20178CB431FBB44BA390DFB7A67DCC0</vt:lpwstr>
  </property>
</Properties>
</file>